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Khushbu Parekh\Downloads\4. Hospital Emergency Room Dashboard\"/>
    </mc:Choice>
  </mc:AlternateContent>
  <xr:revisionPtr revIDLastSave="0" documentId="13_ncr:1_{5781112E-D493-4B61-B253-281CCA4C6826}" xr6:coauthVersionLast="47" xr6:coauthVersionMax="47" xr10:uidLastSave="{00000000-0000-0000-0000-000000000000}"/>
  <bookViews>
    <workbookView xWindow="0" yWindow="360" windowWidth="23256" windowHeight="12456" xr2:uid="{FCADDE24-BB85-4506-A973-A0655D3B3226}"/>
  </bookViews>
  <sheets>
    <sheet name="Pivot Report" sheetId="1" r:id="rId1"/>
    <sheet name="Dashboard" sheetId="2" r:id="rId2"/>
    <sheet name="Daily ER No. of Patient" sheetId="3" r:id="rId3"/>
    <sheet name="Daily Trend Of Wait Time" sheetId="5" r:id="rId4"/>
    <sheet name="DailyTrendOf Satisfaction Score" sheetId="6" r:id="rId5"/>
  </sheets>
  <definedNames>
    <definedName name="_xlnm.Print_Area" localSheetId="1">Dashboard!$A$1:$M$16</definedName>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209106d-4a59-4a29-89d6-0925cd7771bc" name="Hospital Emergency Room Data" connection="Query - Hospital Emergency Room Data"/>
          <x15:modelTable id="Calendar_Table_783c93cd-4431-4902-8387-2d008b90c970"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Lst>
</workbook>
</file>

<file path=xl/calcChain.xml><?xml version="1.0" encoding="utf-8"?>
<calcChain xmlns="http://schemas.openxmlformats.org/spreadsheetml/2006/main">
  <c r="C49" i="1" l="1"/>
  <c r="B49" i="1"/>
  <c r="A49" i="1"/>
  <c r="C48" i="1"/>
  <c r="B48" i="1"/>
  <c r="A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E2EDA7-F992-42A5-9340-A2DC44123210}" name="Query - Calendar_Table" description="Connection to the 'Calendar_Table' query in the workbook." type="100" refreshedVersion="8" minRefreshableVersion="5">
    <extLst>
      <ext xmlns:x15="http://schemas.microsoft.com/office/spreadsheetml/2010/11/main" uri="{DE250136-89BD-433C-8126-D09CA5730AF9}">
        <x15:connection id="a0348eba-1775-4569-a966-c0a292251198"/>
      </ext>
    </extLst>
  </connection>
  <connection id="2" xr16:uid="{A8957D42-F45B-4A3C-AC0C-22ACABA0453E}"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7357dc82-1bb9-4f1b-bd64-eeb946fdae1a"/>
      </ext>
    </extLst>
  </connection>
  <connection id="3" xr16:uid="{0EC5D250-C11A-482B-AAF0-477989E0744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<sst xmlns="http://schemas.openxmlformats.org/spreadsheetml/2006/main" count="156" uniqueCount="75">
  <si>
    <t xml:space="preserve"> </t>
  </si>
  <si>
    <t>Distinct Count of Patient Id</t>
  </si>
  <si>
    <t xml:space="preserve">No. Of Patient </t>
  </si>
  <si>
    <t>Average of Patient Waittime</t>
  </si>
  <si>
    <t>Average of Patient Satisfaction Score</t>
  </si>
  <si>
    <t>Grand Total</t>
  </si>
  <si>
    <t>2024</t>
  </si>
  <si>
    <t>Row Labels</t>
  </si>
  <si>
    <t>daily trends of no. patient</t>
  </si>
  <si>
    <t>Avg wait time</t>
  </si>
  <si>
    <t>Daily trend of Satisfaction Score</t>
  </si>
  <si>
    <t>Admitted</t>
  </si>
  <si>
    <t>Not Admitted</t>
  </si>
  <si>
    <t>Count of Patient Admission Flag</t>
  </si>
  <si>
    <t>Count of Patient Admission Flag2</t>
  </si>
  <si>
    <t xml:space="preserve">Admission Status </t>
  </si>
  <si>
    <t>%  Status</t>
  </si>
  <si>
    <t>Patient</t>
  </si>
  <si>
    <t>0-09</t>
  </si>
  <si>
    <t>10-19</t>
  </si>
  <si>
    <t>20-29</t>
  </si>
  <si>
    <t>30-39</t>
  </si>
  <si>
    <t>40-49</t>
  </si>
  <si>
    <t>50-59</t>
  </si>
  <si>
    <t>60-69</t>
  </si>
  <si>
    <t>70-79</t>
  </si>
  <si>
    <t>Count of Age Group</t>
  </si>
  <si>
    <t>no. of patient by age group</t>
  </si>
  <si>
    <t>Ontime</t>
  </si>
  <si>
    <t>Delay</t>
  </si>
  <si>
    <t>Count of Patient Attend Status</t>
  </si>
  <si>
    <t>Attend Status</t>
  </si>
  <si>
    <t>Female</t>
  </si>
  <si>
    <t>Male</t>
  </si>
  <si>
    <t>Count of Patient Gender</t>
  </si>
  <si>
    <t>Cardiology</t>
  </si>
  <si>
    <t>Gastroenterology</t>
  </si>
  <si>
    <t>General Practice</t>
  </si>
  <si>
    <t>Neurology</t>
  </si>
  <si>
    <t>None</t>
  </si>
  <si>
    <t>Orthopedics</t>
  </si>
  <si>
    <t>Physiotherapy</t>
  </si>
  <si>
    <t>Renal</t>
  </si>
  <si>
    <t>Count of Department Referral</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</si>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</sst>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1" tint="0.499984740745262"/>
        <bgColor indexed="64"/>
      </patternFill>
    </fill>
    <fill>
      <patternFill patternType="solid">
        <fgColor theme="4" tint="0.39997558519241921"/>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1" fontId="0" fillId="0" borderId="0" xfId="0" applyNumberFormat="1"/>
    <xf numFmtId="10" fontId="0" fillId="0" borderId="0" xfId="0" applyNumberFormat="1"/>
    <xf numFmtId="0" fontId="2" fillId="3" borderId="0" xfId="0" applyFont="1" applyFill="1" applyAlignment="1">
      <alignment horizontal="center"/>
    </xf>
    <xf numFmtId="0" fontId="2" fillId="3" borderId="0" xfId="0" applyFont="1" applyFill="1"/>
    <xf numFmtId="0" fontId="0" fillId="4" borderId="0" xfId="0" applyFill="1" applyAlignment="1">
      <alignment horizontal="center"/>
    </xf>
    <xf numFmtId="9" fontId="0" fillId="4" borderId="0" xfId="1" applyFont="1" applyFill="1" applyAlignment="1">
      <alignment horizontal="center"/>
    </xf>
    <xf numFmtId="0" fontId="0" fillId="4" borderId="0" xfId="0" applyFill="1"/>
  </cellXfs>
  <cellStyles count="2">
    <cellStyle name="Normal" xfId="0" builtinId="0"/>
    <cellStyle name="Percent" xfId="1" builtinId="5"/>
  </cellStyles>
  <dxfs count="15">
    <dxf>
      <numFmt numFmtId="2" formatCode="0.00"/>
    </dxf>
    <dxf>
      <numFmt numFmtId="1" formatCode="0"/>
    </dxf>
    <dxf>
      <numFmt numFmtId="1" formatCode="0"/>
    </dxf>
    <dxf>
      <numFmt numFmtId="2" formatCode="0.00"/>
    </dxf>
    <dxf>
      <numFmt numFmtId="1" formatCode="0"/>
    </dxf>
    <dxf>
      <numFmt numFmtId="1" formatCode="0"/>
    </dxf>
    <dxf>
      <numFmt numFmtId="14" formatCode="0.00%"/>
    </dxf>
    <dxf>
      <numFmt numFmtId="1" formatCode="0"/>
    </dxf>
    <dxf>
      <numFmt numFmtId="2" formatCode="0.00"/>
    </dxf>
    <dxf>
      <numFmt numFmtId="2" formatCode="0.00"/>
    </dxf>
    <dxf>
      <numFmt numFmtId="1" formatCode="0"/>
    </dxf>
    <dxf>
      <font>
        <b/>
        <color theme="1"/>
      </font>
      <border>
        <bottom style="thin">
          <color theme="7"/>
        </bottom>
        <vertical/>
        <horizontal/>
      </border>
    </dxf>
    <dxf>
      <font>
        <sz val="10"/>
        <color theme="1"/>
        <name val="Arial Narrow"/>
        <family val="2"/>
        <scheme val="none"/>
      </font>
      <fill>
        <patternFill>
          <bgColor theme="0" tint="-0.14996795556505021"/>
        </patternFill>
      </fill>
      <border diagonalUp="0" diagonalDown="0">
        <left/>
        <right/>
        <top/>
        <bottom/>
        <vertical/>
        <horizontal/>
      </border>
    </dxf>
    <dxf>
      <font>
        <b/>
        <color theme="1"/>
      </font>
      <border>
        <bottom style="thin">
          <color theme="6"/>
        </bottom>
        <vertical/>
        <horizontal/>
      </border>
    </dxf>
    <dxf>
      <font>
        <sz val="8"/>
        <color theme="1"/>
      </font>
      <fill>
        <patternFill>
          <bgColor theme="0" tint="-0.14996795556505021"/>
        </patternFill>
      </fill>
      <border>
        <left style="thin">
          <color theme="6"/>
        </left>
        <right style="thin">
          <color theme="6"/>
        </right>
        <top style="thin">
          <color theme="6"/>
        </top>
        <bottom style="thin">
          <color theme="6"/>
        </bottom>
        <vertical/>
        <horizontal/>
      </border>
    </dxf>
  </dxfs>
  <tableStyles count="2" defaultTableStyle="TableStyleMedium2" defaultPivotStyle="PivotStyleLight16">
    <tableStyle name="Style1" pivot="0" table="0" count="10" xr9:uid="{7FBE9EE8-E7A1-4A0F-A215-993588C87796}">
      <tableStyleElement type="wholeTable" dxfId="14"/>
      <tableStyleElement type="headerRow" dxfId="13"/>
    </tableStyle>
    <tableStyle name="Style2" pivot="0" table="0" count="10" xr9:uid="{854B3F7B-AE55-48CC-BDB2-5B9C321E282E}">
      <tableStyleElement type="wholeTable" dxfId="12"/>
      <tableStyleElement type="headerRow" dxfId="11"/>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tyle1">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tyle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Emergancy Room Dashboard.xlsx]Pivot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s>
    <c:plotArea>
      <c:layout>
        <c:manualLayout>
          <c:layoutTarget val="inner"/>
          <c:xMode val="edge"/>
          <c:yMode val="edge"/>
          <c:x val="8.5782798092646946E-3"/>
          <c:y val="0.18226995522618497"/>
          <c:w val="0.62983079242754225"/>
          <c:h val="0.81773004477381506"/>
        </c:manualLayout>
      </c:layout>
      <c:barChart>
        <c:barDir val="bar"/>
        <c:grouping val="clustered"/>
        <c:varyColors val="0"/>
        <c:ser>
          <c:idx val="0"/>
          <c:order val="0"/>
          <c:tx>
            <c:strRef>
              <c:f>'Pivot Report'!$B$40</c:f>
              <c:strCache>
                <c:ptCount val="1"/>
                <c:pt idx="0">
                  <c:v>Count of Patient Admission Flag</c:v>
                </c:pt>
              </c:strCache>
            </c:strRef>
          </c:tx>
          <c:spPr>
            <a:solidFill>
              <a:schemeClr val="accent1"/>
            </a:solidFill>
            <a:ln>
              <a:noFill/>
            </a:ln>
            <a:effectLst/>
          </c:spPr>
          <c:invertIfNegative val="0"/>
          <c:cat>
            <c:strRef>
              <c:f>'Pivot Report'!$A$41:$A$43</c:f>
              <c:strCache>
                <c:ptCount val="2"/>
                <c:pt idx="0">
                  <c:v>Admitted</c:v>
                </c:pt>
                <c:pt idx="1">
                  <c:v>Not Admitted</c:v>
                </c:pt>
              </c:strCache>
            </c:strRef>
          </c:cat>
          <c:val>
            <c:numRef>
              <c:f>'Pivot Report'!$B$41:$B$43</c:f>
              <c:numCache>
                <c:formatCode>0</c:formatCode>
                <c:ptCount val="2"/>
                <c:pt idx="0">
                  <c:v>253</c:v>
                </c:pt>
                <c:pt idx="1">
                  <c:v>253</c:v>
                </c:pt>
              </c:numCache>
            </c:numRef>
          </c:val>
          <c:extLst>
            <c:ext xmlns:c16="http://schemas.microsoft.com/office/drawing/2014/chart" uri="{C3380CC4-5D6E-409C-BE32-E72D297353CC}">
              <c16:uniqueId val="{00000009-2F65-4258-AE24-13DF08919CB4}"/>
            </c:ext>
          </c:extLst>
        </c:ser>
        <c:ser>
          <c:idx val="1"/>
          <c:order val="1"/>
          <c:tx>
            <c:strRef>
              <c:f>'Pivot Report'!$C$40</c:f>
              <c:strCache>
                <c:ptCount val="1"/>
                <c:pt idx="0">
                  <c:v>Count of Patient Admission Flag2</c:v>
                </c:pt>
              </c:strCache>
            </c:strRef>
          </c:tx>
          <c:spPr>
            <a:solidFill>
              <a:schemeClr val="accent2"/>
            </a:solidFill>
            <a:ln>
              <a:noFill/>
            </a:ln>
            <a:effectLst/>
          </c:spPr>
          <c:invertIfNegative val="0"/>
          <c:cat>
            <c:strRef>
              <c:f>'Pivot Report'!$A$41:$A$43</c:f>
              <c:strCache>
                <c:ptCount val="2"/>
                <c:pt idx="0">
                  <c:v>Admitted</c:v>
                </c:pt>
                <c:pt idx="1">
                  <c:v>Not Admitted</c:v>
                </c:pt>
              </c:strCache>
            </c:strRef>
          </c:cat>
          <c:val>
            <c:numRef>
              <c:f>'Pivot Report'!$C$41:$C$43</c:f>
              <c:numCache>
                <c:formatCode>0.00%</c:formatCode>
                <c:ptCount val="2"/>
                <c:pt idx="0">
                  <c:v>0.5</c:v>
                </c:pt>
                <c:pt idx="1">
                  <c:v>0.5</c:v>
                </c:pt>
              </c:numCache>
            </c:numRef>
          </c:val>
          <c:extLst>
            <c:ext xmlns:c16="http://schemas.microsoft.com/office/drawing/2014/chart" uri="{C3380CC4-5D6E-409C-BE32-E72D297353CC}">
              <c16:uniqueId val="{0000000A-2F65-4258-AE24-13DF08919CB4}"/>
            </c:ext>
          </c:extLst>
        </c:ser>
        <c:dLbls>
          <c:showLegendKey val="0"/>
          <c:showVal val="0"/>
          <c:showCatName val="0"/>
          <c:showSerName val="0"/>
          <c:showPercent val="0"/>
          <c:showBubbleSize val="0"/>
        </c:dLbls>
        <c:gapWidth val="80"/>
        <c:axId val="1317330927"/>
        <c:axId val="1317322767"/>
      </c:barChart>
      <c:catAx>
        <c:axId val="1317330927"/>
        <c:scaling>
          <c:orientation val="minMax"/>
        </c:scaling>
        <c:delete val="1"/>
        <c:axPos val="l"/>
        <c:numFmt formatCode="General" sourceLinked="1"/>
        <c:majorTickMark val="none"/>
        <c:minorTickMark val="none"/>
        <c:tickLblPos val="nextTo"/>
        <c:crossAx val="1317322767"/>
        <c:crosses val="autoZero"/>
        <c:auto val="1"/>
        <c:lblAlgn val="ctr"/>
        <c:lblOffset val="100"/>
        <c:noMultiLvlLbl val="0"/>
      </c:catAx>
      <c:valAx>
        <c:axId val="1317322767"/>
        <c:scaling>
          <c:orientation val="minMax"/>
        </c:scaling>
        <c:delete val="1"/>
        <c:axPos val="b"/>
        <c:numFmt formatCode="0" sourceLinked="1"/>
        <c:majorTickMark val="none"/>
        <c:minorTickMark val="none"/>
        <c:tickLblPos val="nextTo"/>
        <c:crossAx val="131733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Emergancy Room Dashboard.xlsx]Pivot Report!PivotTable8</c:name>
    <c:fmtId val="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Report'!$A$54:$A$62</c:f>
              <c:strCache>
                <c:ptCount val="8"/>
                <c:pt idx="0">
                  <c:v>0-09</c:v>
                </c:pt>
                <c:pt idx="1">
                  <c:v>10-19</c:v>
                </c:pt>
                <c:pt idx="2">
                  <c:v>20-29</c:v>
                </c:pt>
                <c:pt idx="3">
                  <c:v>30-39</c:v>
                </c:pt>
                <c:pt idx="4">
                  <c:v>40-49</c:v>
                </c:pt>
                <c:pt idx="5">
                  <c:v>50-59</c:v>
                </c:pt>
                <c:pt idx="6">
                  <c:v>60-69</c:v>
                </c:pt>
                <c:pt idx="7">
                  <c:v>70-79</c:v>
                </c:pt>
              </c:strCache>
            </c:strRef>
          </c:cat>
          <c:val>
            <c:numRef>
              <c:f>'Pivot Report'!$B$54:$B$62</c:f>
              <c:numCache>
                <c:formatCode>0</c:formatCode>
                <c:ptCount val="8"/>
                <c:pt idx="0">
                  <c:v>64</c:v>
                </c:pt>
                <c:pt idx="1">
                  <c:v>66</c:v>
                </c:pt>
                <c:pt idx="2">
                  <c:v>65</c:v>
                </c:pt>
                <c:pt idx="3">
                  <c:v>73</c:v>
                </c:pt>
                <c:pt idx="4">
                  <c:v>45</c:v>
                </c:pt>
                <c:pt idx="5">
                  <c:v>72</c:v>
                </c:pt>
                <c:pt idx="6">
                  <c:v>74</c:v>
                </c:pt>
                <c:pt idx="7">
                  <c:v>47</c:v>
                </c:pt>
              </c:numCache>
            </c:numRef>
          </c:val>
          <c:extLst>
            <c:ext xmlns:c16="http://schemas.microsoft.com/office/drawing/2014/chart" uri="{C3380CC4-5D6E-409C-BE32-E72D297353CC}">
              <c16:uniqueId val="{00000004-55AA-4D67-9BA6-23061522E674}"/>
            </c:ext>
          </c:extLst>
        </c:ser>
        <c:dLbls>
          <c:dLblPos val="outEnd"/>
          <c:showLegendKey val="0"/>
          <c:showVal val="1"/>
          <c:showCatName val="0"/>
          <c:showSerName val="0"/>
          <c:showPercent val="0"/>
          <c:showBubbleSize val="0"/>
        </c:dLbls>
        <c:gapWidth val="100"/>
        <c:overlap val="-24"/>
        <c:axId val="1126227023"/>
        <c:axId val="1126233263"/>
      </c:barChart>
      <c:catAx>
        <c:axId val="11262270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233263"/>
        <c:crosses val="autoZero"/>
        <c:auto val="1"/>
        <c:lblAlgn val="ctr"/>
        <c:lblOffset val="100"/>
        <c:noMultiLvlLbl val="0"/>
      </c:catAx>
      <c:valAx>
        <c:axId val="11262332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22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Emergancy Room Dashboard.xlsx]Pivot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182001229388212E-2"/>
          <c:y val="0.15510957819965412"/>
          <c:w val="0.96814698437472069"/>
          <c:h val="0.84489006730106431"/>
        </c:manualLayout>
      </c:layout>
      <c:areaChart>
        <c:grouping val="standard"/>
        <c:varyColors val="0"/>
        <c:ser>
          <c:idx val="0"/>
          <c:order val="0"/>
          <c:tx>
            <c:strRef>
              <c:f>'Pivot Report'!$F$5</c:f>
              <c:strCache>
                <c:ptCount val="1"/>
                <c:pt idx="0">
                  <c:v>Total</c:v>
                </c:pt>
              </c:strCache>
            </c:strRef>
          </c:tx>
          <c:spPr>
            <a:solidFill>
              <a:schemeClr val="accent1"/>
            </a:solidFill>
            <a:ln w="25400">
              <a:noFill/>
            </a:ln>
            <a:effectLst/>
          </c:spPr>
          <c:cat>
            <c:strRef>
              <c:f>'Pivot Report'!$E$6:$E$37</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Report'!$F$6:$F$37</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4-D446-4F9F-BE64-A02B5C4378C1}"/>
            </c:ext>
          </c:extLst>
        </c:ser>
        <c:dLbls>
          <c:showLegendKey val="0"/>
          <c:showVal val="0"/>
          <c:showCatName val="0"/>
          <c:showSerName val="0"/>
          <c:showPercent val="0"/>
          <c:showBubbleSize val="0"/>
        </c:dLbls>
        <c:axId val="1173974847"/>
        <c:axId val="1173980607"/>
      </c:areaChart>
      <c:catAx>
        <c:axId val="1173974847"/>
        <c:scaling>
          <c:orientation val="minMax"/>
        </c:scaling>
        <c:delete val="1"/>
        <c:axPos val="b"/>
        <c:numFmt formatCode="General" sourceLinked="1"/>
        <c:majorTickMark val="out"/>
        <c:minorTickMark val="none"/>
        <c:tickLblPos val="nextTo"/>
        <c:crossAx val="1173980607"/>
        <c:crosses val="autoZero"/>
        <c:auto val="1"/>
        <c:lblAlgn val="ctr"/>
        <c:lblOffset val="100"/>
        <c:noMultiLvlLbl val="0"/>
      </c:catAx>
      <c:valAx>
        <c:axId val="1173980607"/>
        <c:scaling>
          <c:orientation val="minMax"/>
        </c:scaling>
        <c:delete val="1"/>
        <c:axPos val="l"/>
        <c:numFmt formatCode="General" sourceLinked="1"/>
        <c:majorTickMark val="none"/>
        <c:minorTickMark val="none"/>
        <c:tickLblPos val="nextTo"/>
        <c:crossAx val="11739748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Emergancy Room Dashboard.xlsx]Pivot Report!PivotTable5</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026281952183155E-2"/>
          <c:y val="0.42872784808268677"/>
          <c:w val="0.92946057707172525"/>
          <c:h val="0.36622839848646299"/>
        </c:manualLayout>
      </c:layout>
      <c:areaChart>
        <c:grouping val="standard"/>
        <c:varyColors val="0"/>
        <c:ser>
          <c:idx val="0"/>
          <c:order val="0"/>
          <c:tx>
            <c:strRef>
              <c:f>'Pivot Report'!$K$5</c:f>
              <c:strCache>
                <c:ptCount val="1"/>
                <c:pt idx="0">
                  <c:v>Total</c:v>
                </c:pt>
              </c:strCache>
            </c:strRef>
          </c:tx>
          <c:spPr>
            <a:solidFill>
              <a:schemeClr val="accent1"/>
            </a:solidFill>
            <a:ln w="25400">
              <a:noFill/>
            </a:ln>
            <a:effectLst/>
          </c:spPr>
          <c:cat>
            <c:strRef>
              <c:f>'Pivot Report'!$J$6:$J$37</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Report'!$K$6:$K$37</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4-CC6C-4F9F-AED7-F81D7FC162CC}"/>
            </c:ext>
          </c:extLst>
        </c:ser>
        <c:dLbls>
          <c:showLegendKey val="0"/>
          <c:showVal val="0"/>
          <c:showCatName val="0"/>
          <c:showSerName val="0"/>
          <c:showPercent val="0"/>
          <c:showBubbleSize val="0"/>
        </c:dLbls>
        <c:axId val="1180051407"/>
        <c:axId val="1180048047"/>
      </c:areaChart>
      <c:catAx>
        <c:axId val="1180051407"/>
        <c:scaling>
          <c:orientation val="minMax"/>
        </c:scaling>
        <c:delete val="1"/>
        <c:axPos val="b"/>
        <c:numFmt formatCode="General" sourceLinked="1"/>
        <c:majorTickMark val="out"/>
        <c:minorTickMark val="none"/>
        <c:tickLblPos val="nextTo"/>
        <c:crossAx val="1180048047"/>
        <c:crosses val="autoZero"/>
        <c:auto val="1"/>
        <c:lblAlgn val="ctr"/>
        <c:lblOffset val="100"/>
        <c:noMultiLvlLbl val="0"/>
      </c:catAx>
      <c:valAx>
        <c:axId val="1180048047"/>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1800514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Emergancy Room Dashboard.xlsx]Pivot Report!PivotTable6</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611104655756603E-2"/>
          <c:y val="0.44360263479908868"/>
          <c:w val="0.95277779068848678"/>
          <c:h val="0.41329974107217304"/>
        </c:manualLayout>
      </c:layout>
      <c:areaChart>
        <c:grouping val="standard"/>
        <c:varyColors val="0"/>
        <c:ser>
          <c:idx val="0"/>
          <c:order val="0"/>
          <c:tx>
            <c:strRef>
              <c:f>'Pivot Report'!$O$5</c:f>
              <c:strCache>
                <c:ptCount val="1"/>
                <c:pt idx="0">
                  <c:v>Total</c:v>
                </c:pt>
              </c:strCache>
            </c:strRef>
          </c:tx>
          <c:spPr>
            <a:solidFill>
              <a:schemeClr val="accent1"/>
            </a:solidFill>
            <a:ln w="25400">
              <a:noFill/>
            </a:ln>
            <a:effectLst/>
          </c:spPr>
          <c:cat>
            <c:strRef>
              <c:f>'Pivot Report'!$N$6:$N$37</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Report'!$O$6:$O$37</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4-276F-429F-BE37-48CBDAAA7DC2}"/>
            </c:ext>
          </c:extLst>
        </c:ser>
        <c:dLbls>
          <c:showLegendKey val="0"/>
          <c:showVal val="0"/>
          <c:showCatName val="0"/>
          <c:showSerName val="0"/>
          <c:showPercent val="0"/>
          <c:showBubbleSize val="0"/>
        </c:dLbls>
        <c:axId val="1317343887"/>
        <c:axId val="1317344367"/>
      </c:areaChart>
      <c:catAx>
        <c:axId val="1317343887"/>
        <c:scaling>
          <c:orientation val="minMax"/>
        </c:scaling>
        <c:delete val="1"/>
        <c:axPos val="b"/>
        <c:numFmt formatCode="General" sourceLinked="1"/>
        <c:majorTickMark val="out"/>
        <c:minorTickMark val="none"/>
        <c:tickLblPos val="nextTo"/>
        <c:crossAx val="1317344367"/>
        <c:crosses val="autoZero"/>
        <c:auto val="1"/>
        <c:lblAlgn val="ctr"/>
        <c:lblOffset val="100"/>
        <c:noMultiLvlLbl val="0"/>
      </c:catAx>
      <c:valAx>
        <c:axId val="1317344367"/>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3173438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Emergancy Room Dashboard.xlsx]Pivot Report!PivotTable8</c:name>
    <c:fmtId val="1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767389940084775E-2"/>
          <c:y val="0.12375482287366597"/>
          <c:w val="0.92407742380055868"/>
          <c:h val="0.76138141769791412"/>
        </c:manualLayout>
      </c:layout>
      <c:barChart>
        <c:barDir val="col"/>
        <c:grouping val="clustered"/>
        <c:varyColors val="0"/>
        <c:ser>
          <c:idx val="0"/>
          <c:order val="0"/>
          <c:tx>
            <c:strRef>
              <c:f>'Pivot Report'!$B$53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Report'!$A$54:$A$62</c:f>
              <c:strCache>
                <c:ptCount val="8"/>
                <c:pt idx="0">
                  <c:v>0-09</c:v>
                </c:pt>
                <c:pt idx="1">
                  <c:v>10-19</c:v>
                </c:pt>
                <c:pt idx="2">
                  <c:v>20-29</c:v>
                </c:pt>
                <c:pt idx="3">
                  <c:v>30-39</c:v>
                </c:pt>
                <c:pt idx="4">
                  <c:v>40-49</c:v>
                </c:pt>
                <c:pt idx="5">
                  <c:v>50-59</c:v>
                </c:pt>
                <c:pt idx="6">
                  <c:v>60-69</c:v>
                </c:pt>
                <c:pt idx="7">
                  <c:v>70-79</c:v>
                </c:pt>
              </c:strCache>
            </c:strRef>
          </c:cat>
          <c:val>
            <c:numRef>
              <c:f>'Pivot Report'!$B$54:$B$62</c:f>
              <c:numCache>
                <c:formatCode>0</c:formatCode>
                <c:ptCount val="8"/>
                <c:pt idx="0">
                  <c:v>64</c:v>
                </c:pt>
                <c:pt idx="1">
                  <c:v>66</c:v>
                </c:pt>
                <c:pt idx="2">
                  <c:v>65</c:v>
                </c:pt>
                <c:pt idx="3">
                  <c:v>73</c:v>
                </c:pt>
                <c:pt idx="4">
                  <c:v>45</c:v>
                </c:pt>
                <c:pt idx="5">
                  <c:v>72</c:v>
                </c:pt>
                <c:pt idx="6">
                  <c:v>74</c:v>
                </c:pt>
                <c:pt idx="7">
                  <c:v>47</c:v>
                </c:pt>
              </c:numCache>
            </c:numRef>
          </c:val>
          <c:extLst>
            <c:ext xmlns:c16="http://schemas.microsoft.com/office/drawing/2014/chart" uri="{C3380CC4-5D6E-409C-BE32-E72D297353CC}">
              <c16:uniqueId val="{00000004-0B47-4A7B-8A51-A8B7614B5EB0}"/>
            </c:ext>
          </c:extLst>
        </c:ser>
        <c:dLbls>
          <c:dLblPos val="outEnd"/>
          <c:showLegendKey val="0"/>
          <c:showVal val="1"/>
          <c:showCatName val="0"/>
          <c:showSerName val="0"/>
          <c:showPercent val="0"/>
          <c:showBubbleSize val="0"/>
        </c:dLbls>
        <c:gapWidth val="100"/>
        <c:overlap val="-24"/>
        <c:axId val="1126227023"/>
        <c:axId val="1126233263"/>
      </c:barChart>
      <c:catAx>
        <c:axId val="11262270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126233263"/>
        <c:crosses val="autoZero"/>
        <c:auto val="1"/>
        <c:lblAlgn val="ctr"/>
        <c:lblOffset val="100"/>
        <c:noMultiLvlLbl val="0"/>
      </c:catAx>
      <c:valAx>
        <c:axId val="1126233263"/>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12622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Emergancy Room Dashboard.xlsx]Pivot Report!PivotTable9</c:name>
    <c:fmtId val="19"/>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2311769853013233"/>
          <c:y val="0.20233077945659875"/>
          <c:w val="0.58159819354103348"/>
          <c:h val="0.70185481063989497"/>
        </c:manualLayout>
      </c:layout>
      <c:doughnutChart>
        <c:varyColors val="1"/>
        <c:ser>
          <c:idx val="0"/>
          <c:order val="0"/>
          <c:tx>
            <c:strRef>
              <c:f>'Pivot Report'!$B$66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99-4DED-A3F4-71146AE5DD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99-4DED-A3F4-71146AE5DD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Report'!$A$67:$A$69</c:f>
              <c:strCache>
                <c:ptCount val="2"/>
                <c:pt idx="0">
                  <c:v>Delay</c:v>
                </c:pt>
                <c:pt idx="1">
                  <c:v>Ontime</c:v>
                </c:pt>
              </c:strCache>
            </c:strRef>
          </c:cat>
          <c:val>
            <c:numRef>
              <c:f>'Pivot Report'!$B$67:$B$69</c:f>
              <c:numCache>
                <c:formatCode>0</c:formatCode>
                <c:ptCount val="2"/>
                <c:pt idx="0">
                  <c:v>312</c:v>
                </c:pt>
                <c:pt idx="1">
                  <c:v>194</c:v>
                </c:pt>
              </c:numCache>
            </c:numRef>
          </c:val>
          <c:extLst>
            <c:ext xmlns:c16="http://schemas.microsoft.com/office/drawing/2014/chart" uri="{C3380CC4-5D6E-409C-BE32-E72D297353CC}">
              <c16:uniqueId val="{00000008-B93E-4D8E-AB9D-354E39FA2896}"/>
            </c:ext>
          </c:extLst>
        </c:ser>
        <c:dLbls>
          <c:showLegendKey val="0"/>
          <c:showVal val="0"/>
          <c:showCatName val="0"/>
          <c:showSerName val="0"/>
          <c:showPercent val="1"/>
          <c:showBubbleSize val="0"/>
          <c:showLeaderLines val="1"/>
        </c:dLbls>
        <c:firstSliceAng val="0"/>
        <c:holeSize val="75"/>
      </c:doughnutChart>
      <c:spPr>
        <a:noFill/>
        <a:ln w="0">
          <a:noFill/>
        </a:ln>
        <a:effectLst/>
      </c:spPr>
    </c:plotArea>
    <c:legend>
      <c:legendPos val="r"/>
      <c:layout>
        <c:manualLayout>
          <c:xMode val="edge"/>
          <c:yMode val="edge"/>
          <c:x val="4.8083973375719416E-2"/>
          <c:y val="2.3336310759411394E-2"/>
          <c:w val="0.85482372221453851"/>
          <c:h val="0.207711952897958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Emergancy Room Dashboard.xlsx]Pivot Report!PivotTable10</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2391085879511274"/>
          <c:y val="0.21458291170607255"/>
          <c:w val="0.58054755766281008"/>
          <c:h val="0.68214377343517196"/>
        </c:manualLayout>
      </c:layout>
      <c:doughnutChart>
        <c:varyColors val="1"/>
        <c:ser>
          <c:idx val="0"/>
          <c:order val="0"/>
          <c:tx>
            <c:strRef>
              <c:f>'Pivot Report'!$E$66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48B-464A-B5AC-0943A82EB97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48B-464A-B5AC-0943A82EB97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Report'!$D$67:$D$69</c:f>
              <c:strCache>
                <c:ptCount val="2"/>
                <c:pt idx="0">
                  <c:v>Female</c:v>
                </c:pt>
                <c:pt idx="1">
                  <c:v>Male</c:v>
                </c:pt>
              </c:strCache>
            </c:strRef>
          </c:cat>
          <c:val>
            <c:numRef>
              <c:f>'Pivot Report'!$E$67:$E$69</c:f>
              <c:numCache>
                <c:formatCode>0</c:formatCode>
                <c:ptCount val="2"/>
                <c:pt idx="0">
                  <c:v>231</c:v>
                </c:pt>
                <c:pt idx="1">
                  <c:v>275</c:v>
                </c:pt>
              </c:numCache>
            </c:numRef>
          </c:val>
          <c:extLst>
            <c:ext xmlns:c16="http://schemas.microsoft.com/office/drawing/2014/chart" uri="{C3380CC4-5D6E-409C-BE32-E72D297353CC}">
              <c16:uniqueId val="{00000008-955B-436A-84ED-6E49F0278E3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4.1761884160374969E-2"/>
          <c:y val="9.087229434814964E-3"/>
          <c:w val="0.81527354149403197"/>
          <c:h val="0.259816061102789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Emergancy Room Dashboard.xlsx]Pivot Report!PivotTable11</c:name>
    <c:fmtId val="3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993276020895451"/>
          <c:y val="0.11441004900713911"/>
          <c:w val="0.55006723979104555"/>
          <c:h val="0.84120637686320399"/>
        </c:manualLayout>
      </c:layout>
      <c:barChart>
        <c:barDir val="bar"/>
        <c:grouping val="clustered"/>
        <c:varyColors val="0"/>
        <c:ser>
          <c:idx val="0"/>
          <c:order val="0"/>
          <c:tx>
            <c:strRef>
              <c:f>'Pivot Report'!$H$66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Report'!$G$67:$G$75</c:f>
              <c:strCache>
                <c:ptCount val="8"/>
                <c:pt idx="0">
                  <c:v>None</c:v>
                </c:pt>
                <c:pt idx="1">
                  <c:v>General Practice</c:v>
                </c:pt>
                <c:pt idx="2">
                  <c:v>Orthopedics</c:v>
                </c:pt>
                <c:pt idx="3">
                  <c:v>Cardiology</c:v>
                </c:pt>
                <c:pt idx="4">
                  <c:v>Physiotherapy</c:v>
                </c:pt>
                <c:pt idx="5">
                  <c:v>Gastroenterology</c:v>
                </c:pt>
                <c:pt idx="6">
                  <c:v>Neurology</c:v>
                </c:pt>
                <c:pt idx="7">
                  <c:v>Renal</c:v>
                </c:pt>
              </c:strCache>
            </c:strRef>
          </c:cat>
          <c:val>
            <c:numRef>
              <c:f>'Pivot Report'!$H$67:$H$75</c:f>
              <c:numCache>
                <c:formatCode>0</c:formatCode>
                <c:ptCount val="8"/>
                <c:pt idx="0">
                  <c:v>311</c:v>
                </c:pt>
                <c:pt idx="1">
                  <c:v>93</c:v>
                </c:pt>
                <c:pt idx="2">
                  <c:v>59</c:v>
                </c:pt>
                <c:pt idx="3">
                  <c:v>15</c:v>
                </c:pt>
                <c:pt idx="4">
                  <c:v>14</c:v>
                </c:pt>
                <c:pt idx="5">
                  <c:v>6</c:v>
                </c:pt>
                <c:pt idx="6">
                  <c:v>5</c:v>
                </c:pt>
                <c:pt idx="7">
                  <c:v>3</c:v>
                </c:pt>
              </c:numCache>
            </c:numRef>
          </c:val>
          <c:extLst>
            <c:ext xmlns:c16="http://schemas.microsoft.com/office/drawing/2014/chart" uri="{C3380CC4-5D6E-409C-BE32-E72D297353CC}">
              <c16:uniqueId val="{00000004-4185-436C-8952-49F36C2E1DF4}"/>
            </c:ext>
          </c:extLst>
        </c:ser>
        <c:dLbls>
          <c:dLblPos val="inEnd"/>
          <c:showLegendKey val="0"/>
          <c:showVal val="1"/>
          <c:showCatName val="0"/>
          <c:showSerName val="0"/>
          <c:showPercent val="0"/>
          <c:showBubbleSize val="0"/>
        </c:dLbls>
        <c:gapWidth val="65"/>
        <c:axId val="1489379887"/>
        <c:axId val="1489392847"/>
      </c:barChart>
      <c:catAx>
        <c:axId val="148937988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800" b="0" i="0" u="none" strike="noStrike" kern="1200" cap="all" baseline="0">
                <a:solidFill>
                  <a:schemeClr val="tx1">
                    <a:lumMod val="75000"/>
                    <a:lumOff val="25000"/>
                  </a:schemeClr>
                </a:solidFill>
                <a:latin typeface="+mn-lt"/>
                <a:ea typeface="+mn-ea"/>
                <a:cs typeface="+mn-cs"/>
              </a:defRPr>
            </a:pPr>
            <a:endParaRPr lang="en-US"/>
          </a:p>
        </c:txPr>
        <c:crossAx val="1489392847"/>
        <c:crosses val="autoZero"/>
        <c:auto val="1"/>
        <c:lblAlgn val="ctr"/>
        <c:lblOffset val="100"/>
        <c:noMultiLvlLbl val="0"/>
      </c:catAx>
      <c:valAx>
        <c:axId val="1489392847"/>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48937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800">
          <a:solidFill>
            <a:schemeClr val="tx1">
              <a:lumMod val="75000"/>
              <a:lumOff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Emergancy Room Dashboard.xlsx]Pivot Report!PivotTable4</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913116123642435E-2"/>
          <c:y val="6.1027731122650759E-2"/>
          <c:w val="0.93238016300593984"/>
          <c:h val="0.77699876057159523"/>
        </c:manualLayout>
      </c:layout>
      <c:areaChart>
        <c:grouping val="standard"/>
        <c:varyColors val="0"/>
        <c:ser>
          <c:idx val="0"/>
          <c:order val="0"/>
          <c:tx>
            <c:strRef>
              <c:f>'Pivot Report'!$F$5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Report'!$E$6:$E$37</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Report'!$F$6:$F$37</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3-197E-4FF0-AE33-BD8C34A0ECF9}"/>
            </c:ext>
          </c:extLst>
        </c:ser>
        <c:dLbls>
          <c:showLegendKey val="0"/>
          <c:showVal val="0"/>
          <c:showCatName val="0"/>
          <c:showSerName val="0"/>
          <c:showPercent val="0"/>
          <c:showBubbleSize val="0"/>
        </c:dLbls>
        <c:axId val="1173974847"/>
        <c:axId val="1173980607"/>
      </c:areaChart>
      <c:catAx>
        <c:axId val="1173974847"/>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3980607"/>
        <c:crosses val="autoZero"/>
        <c:auto val="1"/>
        <c:lblAlgn val="ctr"/>
        <c:lblOffset val="100"/>
        <c:noMultiLvlLbl val="0"/>
      </c:catAx>
      <c:valAx>
        <c:axId val="117398060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39748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Emergancy Room Dashboard.xlsx]Pivot Report!PivotTable5</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671189137611572E-2"/>
          <c:y val="4.9566294919454773E-2"/>
          <c:w val="0.92722112530495626"/>
          <c:h val="0.85192264535706275"/>
        </c:manualLayout>
      </c:layout>
      <c:areaChart>
        <c:grouping val="standard"/>
        <c:varyColors val="0"/>
        <c:ser>
          <c:idx val="0"/>
          <c:order val="0"/>
          <c:tx>
            <c:strRef>
              <c:f>'Pivot Report'!$K$5</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Report'!$J$6:$J$37</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Report'!$K$6:$K$37</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2-58E5-4978-81CE-DC9313ED868D}"/>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180051407"/>
        <c:axId val="1180048047"/>
      </c:areaChart>
      <c:catAx>
        <c:axId val="118005140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800" b="1" i="0" u="none" strike="noStrike" kern="1200" cap="all" baseline="0">
                <a:solidFill>
                  <a:schemeClr val="lt1">
                    <a:lumMod val="85000"/>
                  </a:schemeClr>
                </a:solidFill>
                <a:latin typeface="+mn-lt"/>
                <a:ea typeface="+mn-ea"/>
                <a:cs typeface="+mn-cs"/>
              </a:defRPr>
            </a:pPr>
            <a:endParaRPr lang="en-US"/>
          </a:p>
        </c:txPr>
        <c:crossAx val="1180048047"/>
        <c:crosses val="autoZero"/>
        <c:auto val="1"/>
        <c:lblAlgn val="ctr"/>
        <c:lblOffset val="100"/>
        <c:noMultiLvlLbl val="0"/>
      </c:catAx>
      <c:valAx>
        <c:axId val="1180048047"/>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800514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Emergancy Room Dashboard.xlsx]Pivot Report!PivotTable6</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Report'!$O$5</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Report'!$N$6:$N$37</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Report'!$O$6:$O$37</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3-FB31-4585-8915-87A7E3FCBD48}"/>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317343887"/>
        <c:axId val="1317344367"/>
      </c:areaChart>
      <c:catAx>
        <c:axId val="131734388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317344367"/>
        <c:crosses val="autoZero"/>
        <c:auto val="1"/>
        <c:lblAlgn val="ctr"/>
        <c:lblOffset val="100"/>
        <c:noMultiLvlLbl val="0"/>
      </c:catAx>
      <c:valAx>
        <c:axId val="131734436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173438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5.xml"/><Relationship Id="rId18" Type="http://schemas.openxmlformats.org/officeDocument/2006/relationships/chart" Target="../charts/chart9.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DailyTrendOf Satisfaction Score'!A1"/><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svg"/><Relationship Id="rId15" Type="http://schemas.openxmlformats.org/officeDocument/2006/relationships/chart" Target="../charts/chart6.xml"/><Relationship Id="rId10" Type="http://schemas.openxmlformats.org/officeDocument/2006/relationships/hyperlink" Target="#'Daily Trend Of Wait Time'!A1"/><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 Id="rId4" Type="http://schemas.openxmlformats.org/officeDocument/2006/relationships/chart" Target="../charts/chart1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30480</xdr:colOff>
      <xdr:row>46</xdr:row>
      <xdr:rowOff>7620</xdr:rowOff>
    </xdr:from>
    <xdr:to>
      <xdr:col>4</xdr:col>
      <xdr:colOff>632460</xdr:colOff>
      <xdr:row>48</xdr:row>
      <xdr:rowOff>160020</xdr:rowOff>
    </xdr:to>
    <xdr:graphicFrame macro="">
      <xdr:nvGraphicFramePr>
        <xdr:cNvPr id="9" name="Chart 8">
          <a:extLst>
            <a:ext uri="{FF2B5EF4-FFF2-40B4-BE49-F238E27FC236}">
              <a16:creationId xmlns:a16="http://schemas.microsoft.com/office/drawing/2014/main" id="{392A9EE9-6067-C531-B38A-B1C7FE795E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11430</xdr:colOff>
      <xdr:row>52</xdr:row>
      <xdr:rowOff>7620</xdr:rowOff>
    </xdr:from>
    <xdr:to>
      <xdr:col>6</xdr:col>
      <xdr:colOff>594360</xdr:colOff>
      <xdr:row>62</xdr:row>
      <xdr:rowOff>22860</xdr:rowOff>
    </xdr:to>
    <xdr:graphicFrame macro="">
      <xdr:nvGraphicFramePr>
        <xdr:cNvPr id="10" name="Chart 9">
          <a:extLst>
            <a:ext uri="{FF2B5EF4-FFF2-40B4-BE49-F238E27FC236}">
              <a16:creationId xmlns:a16="http://schemas.microsoft.com/office/drawing/2014/main" id="{1FEB1A2C-BEAB-E1A1-0BA9-56BD119D54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26894</xdr:colOff>
      <xdr:row>0</xdr:row>
      <xdr:rowOff>35859</xdr:rowOff>
    </xdr:from>
    <xdr:to>
      <xdr:col>12</xdr:col>
      <xdr:colOff>578224</xdr:colOff>
      <xdr:row>1</xdr:row>
      <xdr:rowOff>170330</xdr:rowOff>
    </xdr:to>
    <xdr:sp macro="" textlink="">
      <xdr:nvSpPr>
        <xdr:cNvPr id="2" name="Rectangle: Rounded Corners 1">
          <a:extLst>
            <a:ext uri="{FF2B5EF4-FFF2-40B4-BE49-F238E27FC236}">
              <a16:creationId xmlns:a16="http://schemas.microsoft.com/office/drawing/2014/main" id="{9B5B7C85-8C06-E70A-7397-4EB3ADBE88F8}"/>
            </a:ext>
          </a:extLst>
        </xdr:cNvPr>
        <xdr:cNvSpPr/>
      </xdr:nvSpPr>
      <xdr:spPr>
        <a:xfrm>
          <a:off x="26894" y="35859"/>
          <a:ext cx="7866530" cy="318247"/>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22412</xdr:colOff>
      <xdr:row>2</xdr:row>
      <xdr:rowOff>26893</xdr:rowOff>
    </xdr:from>
    <xdr:to>
      <xdr:col>1</xdr:col>
      <xdr:colOff>475129</xdr:colOff>
      <xdr:row>4</xdr:row>
      <xdr:rowOff>179293</xdr:rowOff>
    </xdr:to>
    <xdr:sp macro="" textlink="">
      <xdr:nvSpPr>
        <xdr:cNvPr id="3" name="Rectangle: Rounded Corners 2">
          <a:extLst>
            <a:ext uri="{FF2B5EF4-FFF2-40B4-BE49-F238E27FC236}">
              <a16:creationId xmlns:a16="http://schemas.microsoft.com/office/drawing/2014/main" id="{F188B0E6-20DE-4FBD-8C27-C9EA49FDC184}"/>
            </a:ext>
          </a:extLst>
        </xdr:cNvPr>
        <xdr:cNvSpPr/>
      </xdr:nvSpPr>
      <xdr:spPr>
        <a:xfrm>
          <a:off x="22412" y="394446"/>
          <a:ext cx="1062317" cy="519953"/>
        </a:xfrm>
        <a:prstGeom prst="roundRect">
          <a:avLst>
            <a:gd name="adj" fmla="val 13219"/>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26894</xdr:colOff>
      <xdr:row>5</xdr:row>
      <xdr:rowOff>35858</xdr:rowOff>
    </xdr:from>
    <xdr:to>
      <xdr:col>1</xdr:col>
      <xdr:colOff>479611</xdr:colOff>
      <xdr:row>8</xdr:row>
      <xdr:rowOff>109817</xdr:rowOff>
    </xdr:to>
    <xdr:sp macro="" textlink="">
      <xdr:nvSpPr>
        <xdr:cNvPr id="11" name="Rectangle: Rounded Corners 10">
          <a:extLst>
            <a:ext uri="{FF2B5EF4-FFF2-40B4-BE49-F238E27FC236}">
              <a16:creationId xmlns:a16="http://schemas.microsoft.com/office/drawing/2014/main" id="{25636552-2AAC-4C4B-B176-686EB1DA4BD8}"/>
            </a:ext>
          </a:extLst>
        </xdr:cNvPr>
        <xdr:cNvSpPr/>
      </xdr:nvSpPr>
      <xdr:spPr>
        <a:xfrm>
          <a:off x="26894" y="954740"/>
          <a:ext cx="1062317" cy="625289"/>
        </a:xfrm>
        <a:prstGeom prst="roundRect">
          <a:avLst>
            <a:gd name="adj" fmla="val 9498"/>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22413</xdr:colOff>
      <xdr:row>8</xdr:row>
      <xdr:rowOff>147916</xdr:rowOff>
    </xdr:from>
    <xdr:to>
      <xdr:col>1</xdr:col>
      <xdr:colOff>475130</xdr:colOff>
      <xdr:row>12</xdr:row>
      <xdr:rowOff>38099</xdr:rowOff>
    </xdr:to>
    <xdr:sp macro="" textlink="">
      <xdr:nvSpPr>
        <xdr:cNvPr id="16" name="Rectangle: Rounded Corners 15">
          <a:extLst>
            <a:ext uri="{FF2B5EF4-FFF2-40B4-BE49-F238E27FC236}">
              <a16:creationId xmlns:a16="http://schemas.microsoft.com/office/drawing/2014/main" id="{F87815D0-7EB6-4026-9565-0EA927B18DB1}"/>
            </a:ext>
          </a:extLst>
        </xdr:cNvPr>
        <xdr:cNvSpPr/>
      </xdr:nvSpPr>
      <xdr:spPr>
        <a:xfrm>
          <a:off x="22413" y="1618128"/>
          <a:ext cx="1062317" cy="625289"/>
        </a:xfrm>
        <a:prstGeom prst="roundRect">
          <a:avLst>
            <a:gd name="adj" fmla="val 10932"/>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17930</xdr:colOff>
      <xdr:row>12</xdr:row>
      <xdr:rowOff>71716</xdr:rowOff>
    </xdr:from>
    <xdr:to>
      <xdr:col>1</xdr:col>
      <xdr:colOff>470647</xdr:colOff>
      <xdr:row>15</xdr:row>
      <xdr:rowOff>145676</xdr:rowOff>
    </xdr:to>
    <xdr:sp macro="" textlink="">
      <xdr:nvSpPr>
        <xdr:cNvPr id="17" name="Rectangle: Rounded Corners 16">
          <a:extLst>
            <a:ext uri="{FF2B5EF4-FFF2-40B4-BE49-F238E27FC236}">
              <a16:creationId xmlns:a16="http://schemas.microsoft.com/office/drawing/2014/main" id="{F66CCBEE-87A3-4D86-A2E2-8722C63622FF}"/>
            </a:ext>
          </a:extLst>
        </xdr:cNvPr>
        <xdr:cNvSpPr/>
      </xdr:nvSpPr>
      <xdr:spPr>
        <a:xfrm>
          <a:off x="17930" y="2277034"/>
          <a:ext cx="1062317" cy="625289"/>
        </a:xfrm>
        <a:prstGeom prst="roundRect">
          <a:avLst>
            <a:gd name="adj" fmla="val 9498"/>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524436</xdr:colOff>
      <xdr:row>2</xdr:row>
      <xdr:rowOff>31376</xdr:rowOff>
    </xdr:from>
    <xdr:to>
      <xdr:col>12</xdr:col>
      <xdr:colOff>560294</xdr:colOff>
      <xdr:row>4</xdr:row>
      <xdr:rowOff>174811</xdr:rowOff>
    </xdr:to>
    <xdr:sp macro="" textlink="">
      <xdr:nvSpPr>
        <xdr:cNvPr id="18" name="Rectangle: Rounded Corners 17">
          <a:extLst>
            <a:ext uri="{FF2B5EF4-FFF2-40B4-BE49-F238E27FC236}">
              <a16:creationId xmlns:a16="http://schemas.microsoft.com/office/drawing/2014/main" id="{00AB9C03-4916-4392-82D6-6453E95F67B5}"/>
            </a:ext>
          </a:extLst>
        </xdr:cNvPr>
        <xdr:cNvSpPr/>
      </xdr:nvSpPr>
      <xdr:spPr>
        <a:xfrm>
          <a:off x="1134036" y="398929"/>
          <a:ext cx="6741458" cy="510988"/>
        </a:xfrm>
        <a:prstGeom prst="roundRect">
          <a:avLst>
            <a:gd name="adj" fmla="val 13782"/>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542364</xdr:colOff>
      <xdr:row>5</xdr:row>
      <xdr:rowOff>44825</xdr:rowOff>
    </xdr:from>
    <xdr:to>
      <xdr:col>4</xdr:col>
      <xdr:colOff>197223</xdr:colOff>
      <xdr:row>12</xdr:row>
      <xdr:rowOff>44823</xdr:rowOff>
    </xdr:to>
    <xdr:sp macro="" textlink="">
      <xdr:nvSpPr>
        <xdr:cNvPr id="19" name="Rectangle: Rounded Corners 18">
          <a:extLst>
            <a:ext uri="{FF2B5EF4-FFF2-40B4-BE49-F238E27FC236}">
              <a16:creationId xmlns:a16="http://schemas.microsoft.com/office/drawing/2014/main" id="{C41A7244-62F8-0194-49DF-55C507DA33AC}"/>
            </a:ext>
          </a:extLst>
        </xdr:cNvPr>
        <xdr:cNvSpPr/>
      </xdr:nvSpPr>
      <xdr:spPr>
        <a:xfrm>
          <a:off x="1151964" y="963707"/>
          <a:ext cx="1483659" cy="1286434"/>
        </a:xfrm>
        <a:prstGeom prst="roundRect">
          <a:avLst>
            <a:gd name="adj" fmla="val 6704"/>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242047</xdr:colOff>
      <xdr:row>5</xdr:row>
      <xdr:rowOff>40342</xdr:rowOff>
    </xdr:from>
    <xdr:to>
      <xdr:col>6</xdr:col>
      <xdr:colOff>506506</xdr:colOff>
      <xdr:row>12</xdr:row>
      <xdr:rowOff>40340</xdr:rowOff>
    </xdr:to>
    <xdr:sp macro="" textlink="">
      <xdr:nvSpPr>
        <xdr:cNvPr id="20" name="Rectangle: Rounded Corners 19">
          <a:extLst>
            <a:ext uri="{FF2B5EF4-FFF2-40B4-BE49-F238E27FC236}">
              <a16:creationId xmlns:a16="http://schemas.microsoft.com/office/drawing/2014/main" id="{7F070E45-1E73-4250-BAB3-2EE2839EBA25}"/>
            </a:ext>
          </a:extLst>
        </xdr:cNvPr>
        <xdr:cNvSpPr/>
      </xdr:nvSpPr>
      <xdr:spPr>
        <a:xfrm>
          <a:off x="2680447" y="959224"/>
          <a:ext cx="1483659" cy="1286434"/>
        </a:xfrm>
        <a:prstGeom prst="roundRect">
          <a:avLst>
            <a:gd name="adj" fmla="val 6704"/>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528918</xdr:colOff>
      <xdr:row>12</xdr:row>
      <xdr:rowOff>71717</xdr:rowOff>
    </xdr:from>
    <xdr:to>
      <xdr:col>6</xdr:col>
      <xdr:colOff>510988</xdr:colOff>
      <xdr:row>15</xdr:row>
      <xdr:rowOff>147918</xdr:rowOff>
    </xdr:to>
    <xdr:sp macro="" textlink="">
      <xdr:nvSpPr>
        <xdr:cNvPr id="21" name="Rectangle: Rounded Corners 20">
          <a:extLst>
            <a:ext uri="{FF2B5EF4-FFF2-40B4-BE49-F238E27FC236}">
              <a16:creationId xmlns:a16="http://schemas.microsoft.com/office/drawing/2014/main" id="{FE38DC99-5E75-E68D-79D4-191E573DE9AD}"/>
            </a:ext>
          </a:extLst>
        </xdr:cNvPr>
        <xdr:cNvSpPr/>
      </xdr:nvSpPr>
      <xdr:spPr>
        <a:xfrm>
          <a:off x="1138518" y="2277035"/>
          <a:ext cx="3030070" cy="627530"/>
        </a:xfrm>
        <a:prstGeom prst="roundRect">
          <a:avLst>
            <a:gd name="adj" fmla="val 12287"/>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555811</xdr:colOff>
      <xdr:row>5</xdr:row>
      <xdr:rowOff>35860</xdr:rowOff>
    </xdr:from>
    <xdr:to>
      <xdr:col>9</xdr:col>
      <xdr:colOff>546847</xdr:colOff>
      <xdr:row>15</xdr:row>
      <xdr:rowOff>147919</xdr:rowOff>
    </xdr:to>
    <xdr:sp macro="" textlink="">
      <xdr:nvSpPr>
        <xdr:cNvPr id="22" name="Rectangle: Rounded Corners 21">
          <a:extLst>
            <a:ext uri="{FF2B5EF4-FFF2-40B4-BE49-F238E27FC236}">
              <a16:creationId xmlns:a16="http://schemas.microsoft.com/office/drawing/2014/main" id="{B290BCA9-F5B5-46FA-98C0-E87C91381664}"/>
            </a:ext>
          </a:extLst>
        </xdr:cNvPr>
        <xdr:cNvSpPr/>
      </xdr:nvSpPr>
      <xdr:spPr>
        <a:xfrm>
          <a:off x="4213411" y="954742"/>
          <a:ext cx="1819836" cy="1949824"/>
        </a:xfrm>
        <a:prstGeom prst="roundRect">
          <a:avLst>
            <a:gd name="adj" fmla="val 6704"/>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591670</xdr:colOff>
      <xdr:row>5</xdr:row>
      <xdr:rowOff>35860</xdr:rowOff>
    </xdr:from>
    <xdr:to>
      <xdr:col>12</xdr:col>
      <xdr:colOff>582706</xdr:colOff>
      <xdr:row>15</xdr:row>
      <xdr:rowOff>147919</xdr:rowOff>
    </xdr:to>
    <xdr:sp macro="" textlink="">
      <xdr:nvSpPr>
        <xdr:cNvPr id="23" name="Rectangle: Rounded Corners 22">
          <a:extLst>
            <a:ext uri="{FF2B5EF4-FFF2-40B4-BE49-F238E27FC236}">
              <a16:creationId xmlns:a16="http://schemas.microsoft.com/office/drawing/2014/main" id="{2114DC29-83FB-4D23-A408-7C8105BED232}"/>
            </a:ext>
          </a:extLst>
        </xdr:cNvPr>
        <xdr:cNvSpPr/>
      </xdr:nvSpPr>
      <xdr:spPr>
        <a:xfrm>
          <a:off x="6078070" y="954742"/>
          <a:ext cx="1819836" cy="1949824"/>
        </a:xfrm>
        <a:prstGeom prst="roundRect">
          <a:avLst>
            <a:gd name="adj" fmla="val 6704"/>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233080</xdr:colOff>
      <xdr:row>0</xdr:row>
      <xdr:rowOff>40341</xdr:rowOff>
    </xdr:from>
    <xdr:to>
      <xdr:col>10</xdr:col>
      <xdr:colOff>331693</xdr:colOff>
      <xdr:row>1</xdr:row>
      <xdr:rowOff>161365</xdr:rowOff>
    </xdr:to>
    <xdr:sp macro="" textlink="">
      <xdr:nvSpPr>
        <xdr:cNvPr id="24" name="TextBox 23">
          <a:extLst>
            <a:ext uri="{FF2B5EF4-FFF2-40B4-BE49-F238E27FC236}">
              <a16:creationId xmlns:a16="http://schemas.microsoft.com/office/drawing/2014/main" id="{FE5DCD7D-5764-B651-FD35-2C82232602FA}"/>
            </a:ext>
          </a:extLst>
        </xdr:cNvPr>
        <xdr:cNvSpPr txBox="1"/>
      </xdr:nvSpPr>
      <xdr:spPr>
        <a:xfrm>
          <a:off x="842680" y="40341"/>
          <a:ext cx="5585013"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1">
              <a:latin typeface="Comic Sans MS" panose="030F0702030302020204" pitchFamily="66" charset="0"/>
            </a:rPr>
            <a:t>Hospital Emergency Room Dashboard</a:t>
          </a:r>
        </a:p>
      </xdr:txBody>
    </xdr:sp>
    <xdr:clientData/>
  </xdr:twoCellAnchor>
  <xdr:twoCellAnchor editAs="oneCell">
    <xdr:from>
      <xdr:col>0</xdr:col>
      <xdr:colOff>367355</xdr:colOff>
      <xdr:row>0</xdr:row>
      <xdr:rowOff>0</xdr:rowOff>
    </xdr:from>
    <xdr:to>
      <xdr:col>3</xdr:col>
      <xdr:colOff>129988</xdr:colOff>
      <xdr:row>2</xdr:row>
      <xdr:rowOff>44824</xdr:rowOff>
    </xdr:to>
    <xdr:pic>
      <xdr:nvPicPr>
        <xdr:cNvPr id="26" name="Picture 25">
          <a:extLst>
            <a:ext uri="{FF2B5EF4-FFF2-40B4-BE49-F238E27FC236}">
              <a16:creationId xmlns:a16="http://schemas.microsoft.com/office/drawing/2014/main" id="{439610F8-9717-E61A-8373-8C71E7D685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7355" y="0"/>
          <a:ext cx="1591433" cy="412377"/>
        </a:xfrm>
        <a:prstGeom prst="rect">
          <a:avLst/>
        </a:prstGeom>
      </xdr:spPr>
    </xdr:pic>
    <xdr:clientData/>
  </xdr:twoCellAnchor>
  <xdr:twoCellAnchor>
    <xdr:from>
      <xdr:col>0</xdr:col>
      <xdr:colOff>76200</xdr:colOff>
      <xdr:row>6</xdr:row>
      <xdr:rowOff>26892</xdr:rowOff>
    </xdr:from>
    <xdr:to>
      <xdr:col>1</xdr:col>
      <xdr:colOff>398930</xdr:colOff>
      <xdr:row>7</xdr:row>
      <xdr:rowOff>40339</xdr:rowOff>
    </xdr:to>
    <xdr:sp macro="" textlink="">
      <xdr:nvSpPr>
        <xdr:cNvPr id="27" name="TextBox 26">
          <a:extLst>
            <a:ext uri="{FF2B5EF4-FFF2-40B4-BE49-F238E27FC236}">
              <a16:creationId xmlns:a16="http://schemas.microsoft.com/office/drawing/2014/main" id="{452C4027-D740-99E0-5200-59AC1D6A87CC}"/>
            </a:ext>
          </a:extLst>
        </xdr:cNvPr>
        <xdr:cNvSpPr txBox="1"/>
      </xdr:nvSpPr>
      <xdr:spPr>
        <a:xfrm>
          <a:off x="76200" y="1129551"/>
          <a:ext cx="932330" cy="197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800" b="1">
              <a:latin typeface="Arial Narrow" panose="020B0606020202030204" pitchFamily="34" charset="0"/>
            </a:rPr>
            <a:t>No. Of Patient</a:t>
          </a:r>
        </a:p>
      </xdr:txBody>
    </xdr:sp>
    <xdr:clientData/>
  </xdr:twoCellAnchor>
  <xdr:twoCellAnchor>
    <xdr:from>
      <xdr:col>0</xdr:col>
      <xdr:colOff>76200</xdr:colOff>
      <xdr:row>5</xdr:row>
      <xdr:rowOff>49306</xdr:rowOff>
    </xdr:from>
    <xdr:to>
      <xdr:col>1</xdr:col>
      <xdr:colOff>398930</xdr:colOff>
      <xdr:row>6</xdr:row>
      <xdr:rowOff>62752</xdr:rowOff>
    </xdr:to>
    <xdr:sp macro="" textlink="'Pivot Report'!A6">
      <xdr:nvSpPr>
        <xdr:cNvPr id="28" name="TextBox 27">
          <a:extLst>
            <a:ext uri="{FF2B5EF4-FFF2-40B4-BE49-F238E27FC236}">
              <a16:creationId xmlns:a16="http://schemas.microsoft.com/office/drawing/2014/main" id="{281E1507-435D-40A9-9CC7-0F6E2D8CB85A}"/>
            </a:ext>
          </a:extLst>
        </xdr:cNvPr>
        <xdr:cNvSpPr txBox="1"/>
      </xdr:nvSpPr>
      <xdr:spPr>
        <a:xfrm>
          <a:off x="76200" y="968188"/>
          <a:ext cx="932330" cy="197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A9D43FC1-4104-4986-A995-FEADA6CD4D76}" type="TxLink">
            <a:rPr lang="en-US" sz="1100" b="0" i="0" u="none" strike="noStrike">
              <a:solidFill>
                <a:srgbClr val="000000"/>
              </a:solidFill>
              <a:latin typeface="Calibri"/>
              <a:ea typeface="Calibri"/>
              <a:cs typeface="Calibri"/>
            </a:rPr>
            <a:pPr algn="ctr"/>
            <a:t>506</a:t>
          </a:fld>
          <a:endParaRPr lang="en-IN" sz="1000"/>
        </a:p>
      </xdr:txBody>
    </xdr:sp>
    <xdr:clientData/>
  </xdr:twoCellAnchor>
  <xdr:twoCellAnchor>
    <xdr:from>
      <xdr:col>0</xdr:col>
      <xdr:colOff>76200</xdr:colOff>
      <xdr:row>9</xdr:row>
      <xdr:rowOff>156881</xdr:rowOff>
    </xdr:from>
    <xdr:to>
      <xdr:col>1</xdr:col>
      <xdr:colOff>398930</xdr:colOff>
      <xdr:row>10</xdr:row>
      <xdr:rowOff>170327</xdr:rowOff>
    </xdr:to>
    <xdr:sp macro="" textlink="">
      <xdr:nvSpPr>
        <xdr:cNvPr id="29" name="TextBox 28">
          <a:extLst>
            <a:ext uri="{FF2B5EF4-FFF2-40B4-BE49-F238E27FC236}">
              <a16:creationId xmlns:a16="http://schemas.microsoft.com/office/drawing/2014/main" id="{7557D856-49D0-B00B-56BF-68B7DFFC4FAE}"/>
            </a:ext>
          </a:extLst>
        </xdr:cNvPr>
        <xdr:cNvSpPr txBox="1"/>
      </xdr:nvSpPr>
      <xdr:spPr>
        <a:xfrm>
          <a:off x="76200" y="1810869"/>
          <a:ext cx="932330" cy="197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800" b="1">
              <a:latin typeface="Arial Narrow" panose="020B0606020202030204" pitchFamily="34" charset="0"/>
            </a:rPr>
            <a:t>Avg.</a:t>
          </a:r>
          <a:r>
            <a:rPr lang="en-IN" sz="800" b="1" baseline="0">
              <a:latin typeface="Arial Narrow" panose="020B0606020202030204" pitchFamily="34" charset="0"/>
            </a:rPr>
            <a:t> Wait Time</a:t>
          </a:r>
          <a:endParaRPr lang="en-IN" sz="800" b="1">
            <a:latin typeface="Arial Narrow" panose="020B0606020202030204" pitchFamily="34" charset="0"/>
          </a:endParaRPr>
        </a:p>
      </xdr:txBody>
    </xdr:sp>
    <xdr:clientData/>
  </xdr:twoCellAnchor>
  <xdr:twoCellAnchor>
    <xdr:from>
      <xdr:col>0</xdr:col>
      <xdr:colOff>76200</xdr:colOff>
      <xdr:row>8</xdr:row>
      <xdr:rowOff>174810</xdr:rowOff>
    </xdr:from>
    <xdr:to>
      <xdr:col>1</xdr:col>
      <xdr:colOff>398930</xdr:colOff>
      <xdr:row>10</xdr:row>
      <xdr:rowOff>4480</xdr:rowOff>
    </xdr:to>
    <xdr:sp macro="" textlink="'Pivot Report'!A13">
      <xdr:nvSpPr>
        <xdr:cNvPr id="30" name="TextBox 29">
          <a:extLst>
            <a:ext uri="{FF2B5EF4-FFF2-40B4-BE49-F238E27FC236}">
              <a16:creationId xmlns:a16="http://schemas.microsoft.com/office/drawing/2014/main" id="{34718CA3-1390-BC37-B8E6-B426523E335D}"/>
            </a:ext>
          </a:extLst>
        </xdr:cNvPr>
        <xdr:cNvSpPr txBox="1"/>
      </xdr:nvSpPr>
      <xdr:spPr>
        <a:xfrm>
          <a:off x="76200" y="1645022"/>
          <a:ext cx="932330" cy="197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F46C1517-635C-42EB-803C-F6FD73A3D0B9}" type="TxLink">
            <a:rPr lang="en-US" sz="1100" b="0" i="0" u="none" strike="noStrike">
              <a:solidFill>
                <a:srgbClr val="000000"/>
              </a:solidFill>
              <a:latin typeface="Calibri"/>
              <a:ea typeface="Calibri"/>
              <a:cs typeface="Calibri"/>
            </a:rPr>
            <a:pPr algn="ctr"/>
            <a:t>35.88</a:t>
          </a:fld>
          <a:endParaRPr lang="en-IN" sz="1000"/>
        </a:p>
      </xdr:txBody>
    </xdr:sp>
    <xdr:clientData/>
  </xdr:twoCellAnchor>
  <xdr:twoCellAnchor>
    <xdr:from>
      <xdr:col>0</xdr:col>
      <xdr:colOff>85165</xdr:colOff>
      <xdr:row>13</xdr:row>
      <xdr:rowOff>71717</xdr:rowOff>
    </xdr:from>
    <xdr:to>
      <xdr:col>1</xdr:col>
      <xdr:colOff>407894</xdr:colOff>
      <xdr:row>14</xdr:row>
      <xdr:rowOff>85163</xdr:rowOff>
    </xdr:to>
    <xdr:sp macro="" textlink="">
      <xdr:nvSpPr>
        <xdr:cNvPr id="31" name="TextBox 30">
          <a:extLst>
            <a:ext uri="{FF2B5EF4-FFF2-40B4-BE49-F238E27FC236}">
              <a16:creationId xmlns:a16="http://schemas.microsoft.com/office/drawing/2014/main" id="{0E87D959-1608-DC82-1F37-6855DE762396}"/>
            </a:ext>
          </a:extLst>
        </xdr:cNvPr>
        <xdr:cNvSpPr txBox="1"/>
      </xdr:nvSpPr>
      <xdr:spPr>
        <a:xfrm>
          <a:off x="85165" y="2460811"/>
          <a:ext cx="932329" cy="197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800" b="1">
              <a:latin typeface="Arial Narrow" panose="020B0606020202030204" pitchFamily="34" charset="0"/>
            </a:rPr>
            <a:t>Satisfaction Score</a:t>
          </a:r>
        </a:p>
      </xdr:txBody>
    </xdr:sp>
    <xdr:clientData/>
  </xdr:twoCellAnchor>
  <xdr:twoCellAnchor>
    <xdr:from>
      <xdr:col>0</xdr:col>
      <xdr:colOff>71718</xdr:colOff>
      <xdr:row>12</xdr:row>
      <xdr:rowOff>98612</xdr:rowOff>
    </xdr:from>
    <xdr:to>
      <xdr:col>1</xdr:col>
      <xdr:colOff>394448</xdr:colOff>
      <xdr:row>13</xdr:row>
      <xdr:rowOff>112059</xdr:rowOff>
    </xdr:to>
    <xdr:sp macro="" textlink="'Pivot Report'!A19">
      <xdr:nvSpPr>
        <xdr:cNvPr id="32" name="TextBox 31">
          <a:extLst>
            <a:ext uri="{FF2B5EF4-FFF2-40B4-BE49-F238E27FC236}">
              <a16:creationId xmlns:a16="http://schemas.microsoft.com/office/drawing/2014/main" id="{CA11833D-185C-7AF5-339D-183DD4EEF161}"/>
            </a:ext>
          </a:extLst>
        </xdr:cNvPr>
        <xdr:cNvSpPr txBox="1"/>
      </xdr:nvSpPr>
      <xdr:spPr>
        <a:xfrm>
          <a:off x="71718" y="2303930"/>
          <a:ext cx="932330" cy="197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D453AD37-E627-4830-BF80-FA8D9AD0C19B}" type="TxLink">
            <a:rPr lang="en-US" sz="1100" b="0" i="0" u="none" strike="noStrike">
              <a:solidFill>
                <a:srgbClr val="000000"/>
              </a:solidFill>
              <a:latin typeface="Calibri"/>
              <a:ea typeface="Calibri"/>
              <a:cs typeface="Calibri"/>
            </a:rPr>
            <a:pPr algn="ctr"/>
            <a:t>5.33</a:t>
          </a:fld>
          <a:endParaRPr lang="en-IN" sz="1000"/>
        </a:p>
      </xdr:txBody>
    </xdr:sp>
    <xdr:clientData/>
  </xdr:twoCellAnchor>
  <xdr:twoCellAnchor editAs="oneCell">
    <xdr:from>
      <xdr:col>1</xdr:col>
      <xdr:colOff>228600</xdr:colOff>
      <xdr:row>5</xdr:row>
      <xdr:rowOff>35859</xdr:rowOff>
    </xdr:from>
    <xdr:to>
      <xdr:col>1</xdr:col>
      <xdr:colOff>484094</xdr:colOff>
      <xdr:row>6</xdr:row>
      <xdr:rowOff>107576</xdr:rowOff>
    </xdr:to>
    <xdr:pic>
      <xdr:nvPicPr>
        <xdr:cNvPr id="34" name="Graphic 33" descr="Group of men">
          <a:extLst>
            <a:ext uri="{FF2B5EF4-FFF2-40B4-BE49-F238E27FC236}">
              <a16:creationId xmlns:a16="http://schemas.microsoft.com/office/drawing/2014/main" id="{8A576FAB-2E58-D48E-4BCE-FE2B6111961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38200" y="954741"/>
          <a:ext cx="255494" cy="255494"/>
        </a:xfrm>
        <a:prstGeom prst="rect">
          <a:avLst/>
        </a:prstGeom>
      </xdr:spPr>
    </xdr:pic>
    <xdr:clientData/>
  </xdr:twoCellAnchor>
  <xdr:twoCellAnchor editAs="oneCell">
    <xdr:from>
      <xdr:col>1</xdr:col>
      <xdr:colOff>215153</xdr:colOff>
      <xdr:row>8</xdr:row>
      <xdr:rowOff>170329</xdr:rowOff>
    </xdr:from>
    <xdr:to>
      <xdr:col>1</xdr:col>
      <xdr:colOff>497541</xdr:colOff>
      <xdr:row>10</xdr:row>
      <xdr:rowOff>0</xdr:rowOff>
    </xdr:to>
    <xdr:pic>
      <xdr:nvPicPr>
        <xdr:cNvPr id="36" name="Graphic 35" descr="Hourglass">
          <a:extLst>
            <a:ext uri="{FF2B5EF4-FFF2-40B4-BE49-F238E27FC236}">
              <a16:creationId xmlns:a16="http://schemas.microsoft.com/office/drawing/2014/main" id="{D56A3F90-04E4-07E6-FDEB-1DE47057CF2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rot="10800000">
          <a:off x="824753" y="1640541"/>
          <a:ext cx="282388" cy="197224"/>
        </a:xfrm>
        <a:prstGeom prst="rect">
          <a:avLst/>
        </a:prstGeom>
      </xdr:spPr>
    </xdr:pic>
    <xdr:clientData/>
  </xdr:twoCellAnchor>
  <xdr:twoCellAnchor editAs="oneCell">
    <xdr:from>
      <xdr:col>1</xdr:col>
      <xdr:colOff>174812</xdr:colOff>
      <xdr:row>12</xdr:row>
      <xdr:rowOff>76201</xdr:rowOff>
    </xdr:from>
    <xdr:to>
      <xdr:col>1</xdr:col>
      <xdr:colOff>488577</xdr:colOff>
      <xdr:row>13</xdr:row>
      <xdr:rowOff>121025</xdr:rowOff>
    </xdr:to>
    <xdr:pic>
      <xdr:nvPicPr>
        <xdr:cNvPr id="38" name="Graphic 37" descr="List">
          <a:extLst>
            <a:ext uri="{FF2B5EF4-FFF2-40B4-BE49-F238E27FC236}">
              <a16:creationId xmlns:a16="http://schemas.microsoft.com/office/drawing/2014/main" id="{1E43396B-3AE2-38E7-79C6-0FF4CB80FF8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84412" y="2281519"/>
          <a:ext cx="313765" cy="228600"/>
        </a:xfrm>
        <a:prstGeom prst="rect">
          <a:avLst/>
        </a:prstGeom>
      </xdr:spPr>
    </xdr:pic>
    <xdr:clientData/>
  </xdr:twoCellAnchor>
  <xdr:twoCellAnchor editAs="oneCell">
    <xdr:from>
      <xdr:col>1</xdr:col>
      <xdr:colOff>564775</xdr:colOff>
      <xdr:row>2</xdr:row>
      <xdr:rowOff>58270</xdr:rowOff>
    </xdr:from>
    <xdr:to>
      <xdr:col>12</xdr:col>
      <xdr:colOff>537882</xdr:colOff>
      <xdr:row>4</xdr:row>
      <xdr:rowOff>143434</xdr:rowOff>
    </xdr:to>
    <mc:AlternateContent xmlns:mc="http://schemas.openxmlformats.org/markup-compatibility/2006" xmlns:a14="http://schemas.microsoft.com/office/drawing/2010/main">
      <mc:Choice Requires="a14">
        <xdr:graphicFrame macro="">
          <xdr:nvGraphicFramePr>
            <xdr:cNvPr id="39" name="Date (Month)">
              <a:extLst>
                <a:ext uri="{FF2B5EF4-FFF2-40B4-BE49-F238E27FC236}">
                  <a16:creationId xmlns:a16="http://schemas.microsoft.com/office/drawing/2014/main" id="{8468E5D8-ED80-4067-AC30-B9CB9E5588F2}"/>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174375" y="425823"/>
              <a:ext cx="6678707" cy="4527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26894</xdr:colOff>
      <xdr:row>6</xdr:row>
      <xdr:rowOff>103094</xdr:rowOff>
    </xdr:from>
    <xdr:to>
      <xdr:col>1</xdr:col>
      <xdr:colOff>479611</xdr:colOff>
      <xdr:row>8</xdr:row>
      <xdr:rowOff>85164</xdr:rowOff>
    </xdr:to>
    <xdr:graphicFrame macro="">
      <xdr:nvGraphicFramePr>
        <xdr:cNvPr id="40" name="Chart 39">
          <a:hlinkClick xmlns:r="http://schemas.openxmlformats.org/officeDocument/2006/relationships" r:id="rId8"/>
          <a:extLst>
            <a:ext uri="{FF2B5EF4-FFF2-40B4-BE49-F238E27FC236}">
              <a16:creationId xmlns:a16="http://schemas.microsoft.com/office/drawing/2014/main" id="{2F68B5D8-7B15-4545-A3E3-71B6A8507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9</xdr:row>
      <xdr:rowOff>17930</xdr:rowOff>
    </xdr:from>
    <xdr:to>
      <xdr:col>1</xdr:col>
      <xdr:colOff>470647</xdr:colOff>
      <xdr:row>12</xdr:row>
      <xdr:rowOff>147918</xdr:rowOff>
    </xdr:to>
    <xdr:graphicFrame macro="">
      <xdr:nvGraphicFramePr>
        <xdr:cNvPr id="41" name="Chart 40">
          <a:hlinkClick xmlns:r="http://schemas.openxmlformats.org/officeDocument/2006/relationships" r:id="rId10"/>
          <a:extLst>
            <a:ext uri="{FF2B5EF4-FFF2-40B4-BE49-F238E27FC236}">
              <a16:creationId xmlns:a16="http://schemas.microsoft.com/office/drawing/2014/main" id="{E789F8E4-30BF-4F21-BF90-A984DDBC6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11</xdr:row>
      <xdr:rowOff>89647</xdr:rowOff>
    </xdr:from>
    <xdr:to>
      <xdr:col>1</xdr:col>
      <xdr:colOff>466165</xdr:colOff>
      <xdr:row>16</xdr:row>
      <xdr:rowOff>58270</xdr:rowOff>
    </xdr:to>
    <xdr:graphicFrame macro="">
      <xdr:nvGraphicFramePr>
        <xdr:cNvPr id="42" name="Chart 41">
          <a:hlinkClick xmlns:r="http://schemas.openxmlformats.org/officeDocument/2006/relationships" r:id="rId12"/>
          <a:extLst>
            <a:ext uri="{FF2B5EF4-FFF2-40B4-BE49-F238E27FC236}">
              <a16:creationId xmlns:a16="http://schemas.microsoft.com/office/drawing/2014/main" id="{B2387943-331A-46ED-BF0C-2F5B3A395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555812</xdr:colOff>
          <xdr:row>12</xdr:row>
          <xdr:rowOff>89647</xdr:rowOff>
        </xdr:from>
        <xdr:to>
          <xdr:col>6</xdr:col>
          <xdr:colOff>479612</xdr:colOff>
          <xdr:row>15</xdr:row>
          <xdr:rowOff>121023</xdr:rowOff>
        </xdr:to>
        <xdr:pic>
          <xdr:nvPicPr>
            <xdr:cNvPr id="50" name="Picture 49">
              <a:extLst>
                <a:ext uri="{FF2B5EF4-FFF2-40B4-BE49-F238E27FC236}">
                  <a16:creationId xmlns:a16="http://schemas.microsoft.com/office/drawing/2014/main" id="{C4604247-1948-15BA-8B83-55955CADD763}"/>
                </a:ext>
              </a:extLst>
            </xdr:cNvPr>
            <xdr:cNvPicPr>
              <a:picLocks noChangeAspect="1" noChangeArrowheads="1"/>
              <a:extLst>
                <a:ext uri="{84589F7E-364E-4C9E-8A38-B11213B215E9}">
                  <a14:cameraTool cellRange="'Pivot Report'!$A$47:$D$49" spid="_x0000_s2077"/>
                </a:ext>
              </a:extLst>
            </xdr:cNvPicPr>
          </xdr:nvPicPr>
          <xdr:blipFill>
            <a:blip xmlns:r="http://schemas.openxmlformats.org/officeDocument/2006/relationships" r:embed="rId14"/>
            <a:srcRect/>
            <a:stretch>
              <a:fillRect/>
            </a:stretch>
          </xdr:blipFill>
          <xdr:spPr bwMode="auto">
            <a:xfrm>
              <a:off x="1165412" y="2294965"/>
              <a:ext cx="2971800" cy="58270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6</xdr:col>
      <xdr:colOff>524435</xdr:colOff>
      <xdr:row>5</xdr:row>
      <xdr:rowOff>35859</xdr:rowOff>
    </xdr:from>
    <xdr:to>
      <xdr:col>9</xdr:col>
      <xdr:colOff>564776</xdr:colOff>
      <xdr:row>15</xdr:row>
      <xdr:rowOff>147917</xdr:rowOff>
    </xdr:to>
    <xdr:graphicFrame macro="">
      <xdr:nvGraphicFramePr>
        <xdr:cNvPr id="51" name="Chart 50">
          <a:extLst>
            <a:ext uri="{FF2B5EF4-FFF2-40B4-BE49-F238E27FC236}">
              <a16:creationId xmlns:a16="http://schemas.microsoft.com/office/drawing/2014/main" id="{D6FF4DC7-525B-4A4A-9AD3-87E9B7CF4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555810</xdr:colOff>
      <xdr:row>5</xdr:row>
      <xdr:rowOff>85165</xdr:rowOff>
    </xdr:from>
    <xdr:to>
      <xdr:col>4</xdr:col>
      <xdr:colOff>165847</xdr:colOff>
      <xdr:row>11</xdr:row>
      <xdr:rowOff>174811</xdr:rowOff>
    </xdr:to>
    <xdr:graphicFrame macro="">
      <xdr:nvGraphicFramePr>
        <xdr:cNvPr id="52" name="Chart 51">
          <a:extLst>
            <a:ext uri="{FF2B5EF4-FFF2-40B4-BE49-F238E27FC236}">
              <a16:creationId xmlns:a16="http://schemas.microsoft.com/office/drawing/2014/main" id="{5DB20E5F-8685-464B-A73B-81C99A904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242048</xdr:colOff>
      <xdr:row>5</xdr:row>
      <xdr:rowOff>40342</xdr:rowOff>
    </xdr:from>
    <xdr:to>
      <xdr:col>6</xdr:col>
      <xdr:colOff>497542</xdr:colOff>
      <xdr:row>12</xdr:row>
      <xdr:rowOff>8964</xdr:rowOff>
    </xdr:to>
    <xdr:graphicFrame macro="">
      <xdr:nvGraphicFramePr>
        <xdr:cNvPr id="53" name="Chart 52">
          <a:extLst>
            <a:ext uri="{FF2B5EF4-FFF2-40B4-BE49-F238E27FC236}">
              <a16:creationId xmlns:a16="http://schemas.microsoft.com/office/drawing/2014/main" id="{3FF1BF84-E037-4958-A35D-C7F0EBE8BE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8965</xdr:colOff>
      <xdr:row>5</xdr:row>
      <xdr:rowOff>62754</xdr:rowOff>
    </xdr:from>
    <xdr:to>
      <xdr:col>12</xdr:col>
      <xdr:colOff>560294</xdr:colOff>
      <xdr:row>15</xdr:row>
      <xdr:rowOff>112061</xdr:rowOff>
    </xdr:to>
    <xdr:graphicFrame macro="">
      <xdr:nvGraphicFramePr>
        <xdr:cNvPr id="54" name="Chart 53">
          <a:extLst>
            <a:ext uri="{FF2B5EF4-FFF2-40B4-BE49-F238E27FC236}">
              <a16:creationId xmlns:a16="http://schemas.microsoft.com/office/drawing/2014/main" id="{B9595D74-370A-409D-B48C-D6E67A0E9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107576</xdr:colOff>
      <xdr:row>5</xdr:row>
      <xdr:rowOff>13447</xdr:rowOff>
    </xdr:from>
    <xdr:to>
      <xdr:col>12</xdr:col>
      <xdr:colOff>439271</xdr:colOff>
      <xdr:row>5</xdr:row>
      <xdr:rowOff>174812</xdr:rowOff>
    </xdr:to>
    <xdr:sp macro="" textlink="">
      <xdr:nvSpPr>
        <xdr:cNvPr id="57" name="TextBox 56">
          <a:extLst>
            <a:ext uri="{FF2B5EF4-FFF2-40B4-BE49-F238E27FC236}">
              <a16:creationId xmlns:a16="http://schemas.microsoft.com/office/drawing/2014/main" id="{B71DCCCA-A977-3BA1-8766-6AE609B45840}"/>
            </a:ext>
          </a:extLst>
        </xdr:cNvPr>
        <xdr:cNvSpPr txBox="1"/>
      </xdr:nvSpPr>
      <xdr:spPr>
        <a:xfrm>
          <a:off x="6203576" y="932329"/>
          <a:ext cx="1550895" cy="161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50" b="0">
              <a:solidFill>
                <a:schemeClr val="tx1"/>
              </a:solidFill>
              <a:latin typeface="Arial Narrow" panose="020B0606020202030204" pitchFamily="34" charset="0"/>
            </a:rPr>
            <a:t>No.</a:t>
          </a:r>
          <a:r>
            <a:rPr lang="en-IN" sz="750" b="0" baseline="0">
              <a:solidFill>
                <a:schemeClr val="tx1"/>
              </a:solidFill>
              <a:latin typeface="Arial Narrow" panose="020B0606020202030204" pitchFamily="34" charset="0"/>
            </a:rPr>
            <a:t> of Patient By Department Referral</a:t>
          </a:r>
          <a:endParaRPr lang="en-IN" sz="750" b="0">
            <a:solidFill>
              <a:schemeClr val="tx1"/>
            </a:solidFill>
            <a:latin typeface="Arial Narrow" panose="020B0606020202030204" pitchFamily="34" charset="0"/>
          </a:endParaRPr>
        </a:p>
      </xdr:txBody>
    </xdr:sp>
    <xdr:clientData/>
  </xdr:twoCellAnchor>
  <xdr:twoCellAnchor>
    <xdr:from>
      <xdr:col>7</xdr:col>
      <xdr:colOff>327211</xdr:colOff>
      <xdr:row>5</xdr:row>
      <xdr:rowOff>13447</xdr:rowOff>
    </xdr:from>
    <xdr:to>
      <xdr:col>10</xdr:col>
      <xdr:colOff>49306</xdr:colOff>
      <xdr:row>5</xdr:row>
      <xdr:rowOff>174812</xdr:rowOff>
    </xdr:to>
    <xdr:sp macro="" textlink="">
      <xdr:nvSpPr>
        <xdr:cNvPr id="58" name="TextBox 57">
          <a:extLst>
            <a:ext uri="{FF2B5EF4-FFF2-40B4-BE49-F238E27FC236}">
              <a16:creationId xmlns:a16="http://schemas.microsoft.com/office/drawing/2014/main" id="{0C0C0FBC-E5FB-4D8E-92B9-F362B1464F61}"/>
            </a:ext>
          </a:extLst>
        </xdr:cNvPr>
        <xdr:cNvSpPr txBox="1"/>
      </xdr:nvSpPr>
      <xdr:spPr>
        <a:xfrm>
          <a:off x="4594411" y="932329"/>
          <a:ext cx="1550895" cy="161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50" b="0">
              <a:solidFill>
                <a:schemeClr val="tx1"/>
              </a:solidFill>
              <a:latin typeface="Arial Narrow" panose="020B0606020202030204" pitchFamily="34" charset="0"/>
            </a:rPr>
            <a:t>No.</a:t>
          </a:r>
          <a:r>
            <a:rPr lang="en-IN" sz="750" b="0" baseline="0">
              <a:solidFill>
                <a:schemeClr val="tx1"/>
              </a:solidFill>
              <a:latin typeface="Arial Narrow" panose="020B0606020202030204" pitchFamily="34" charset="0"/>
            </a:rPr>
            <a:t> of Patient By Age Group</a:t>
          </a:r>
          <a:endParaRPr lang="en-IN" sz="750" b="0">
            <a:solidFill>
              <a:schemeClr val="tx1"/>
            </a:solidFill>
            <a:latin typeface="Arial Narrow" panose="020B0606020202030204" pitchFamily="34" charset="0"/>
          </a:endParaRPr>
        </a:p>
      </xdr:txBody>
    </xdr:sp>
    <xdr:clientData/>
  </xdr:twoCellAnchor>
  <xdr:twoCellAnchor>
    <xdr:from>
      <xdr:col>4</xdr:col>
      <xdr:colOff>425823</xdr:colOff>
      <xdr:row>11</xdr:row>
      <xdr:rowOff>49306</xdr:rowOff>
    </xdr:from>
    <xdr:to>
      <xdr:col>7</xdr:col>
      <xdr:colOff>147918</xdr:colOff>
      <xdr:row>12</xdr:row>
      <xdr:rowOff>26894</xdr:rowOff>
    </xdr:to>
    <xdr:sp macro="" textlink="">
      <xdr:nvSpPr>
        <xdr:cNvPr id="59" name="TextBox 58">
          <a:extLst>
            <a:ext uri="{FF2B5EF4-FFF2-40B4-BE49-F238E27FC236}">
              <a16:creationId xmlns:a16="http://schemas.microsoft.com/office/drawing/2014/main" id="{3787055E-F7F1-4E62-882F-965A8640DBE1}"/>
            </a:ext>
          </a:extLst>
        </xdr:cNvPr>
        <xdr:cNvSpPr txBox="1"/>
      </xdr:nvSpPr>
      <xdr:spPr>
        <a:xfrm>
          <a:off x="2864223" y="2070847"/>
          <a:ext cx="1550895" cy="161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50" b="0">
              <a:solidFill>
                <a:schemeClr val="tx1"/>
              </a:solidFill>
              <a:latin typeface="Arial Narrow" panose="020B0606020202030204" pitchFamily="34" charset="0"/>
            </a:rPr>
            <a:t>No.</a:t>
          </a:r>
          <a:r>
            <a:rPr lang="en-IN" sz="750" b="0" baseline="0">
              <a:solidFill>
                <a:schemeClr val="tx1"/>
              </a:solidFill>
              <a:latin typeface="Arial Narrow" panose="020B0606020202030204" pitchFamily="34" charset="0"/>
            </a:rPr>
            <a:t> of Patient By Gender</a:t>
          </a:r>
          <a:endParaRPr lang="en-IN" sz="750" b="0">
            <a:solidFill>
              <a:schemeClr val="tx1"/>
            </a:solidFill>
            <a:latin typeface="Arial Narrow" panose="020B0606020202030204" pitchFamily="34" charset="0"/>
          </a:endParaRPr>
        </a:p>
      </xdr:txBody>
    </xdr:sp>
    <xdr:clientData/>
  </xdr:twoCellAnchor>
  <xdr:twoCellAnchor>
    <xdr:from>
      <xdr:col>2</xdr:col>
      <xdr:colOff>49306</xdr:colOff>
      <xdr:row>11</xdr:row>
      <xdr:rowOff>53788</xdr:rowOff>
    </xdr:from>
    <xdr:to>
      <xdr:col>4</xdr:col>
      <xdr:colOff>381001</xdr:colOff>
      <xdr:row>12</xdr:row>
      <xdr:rowOff>31376</xdr:rowOff>
    </xdr:to>
    <xdr:sp macro="" textlink="">
      <xdr:nvSpPr>
        <xdr:cNvPr id="60" name="TextBox 59">
          <a:extLst>
            <a:ext uri="{FF2B5EF4-FFF2-40B4-BE49-F238E27FC236}">
              <a16:creationId xmlns:a16="http://schemas.microsoft.com/office/drawing/2014/main" id="{F6632BF3-170C-4E74-B1DA-B22649284E19}"/>
            </a:ext>
          </a:extLst>
        </xdr:cNvPr>
        <xdr:cNvSpPr txBox="1"/>
      </xdr:nvSpPr>
      <xdr:spPr>
        <a:xfrm>
          <a:off x="1268506" y="2075329"/>
          <a:ext cx="1550895" cy="161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50" b="0">
              <a:solidFill>
                <a:schemeClr val="tx1"/>
              </a:solidFill>
              <a:latin typeface="Arial Narrow" panose="020B0606020202030204" pitchFamily="34" charset="0"/>
            </a:rPr>
            <a:t>Patient</a:t>
          </a:r>
          <a:r>
            <a:rPr lang="en-IN" sz="750" b="0" baseline="0">
              <a:solidFill>
                <a:schemeClr val="tx1"/>
              </a:solidFill>
              <a:latin typeface="Arial Narrow" panose="020B0606020202030204" pitchFamily="34" charset="0"/>
            </a:rPr>
            <a:t> Attended Within Time</a:t>
          </a:r>
          <a:endParaRPr lang="en-IN" sz="750" b="0">
            <a:solidFill>
              <a:schemeClr val="tx1"/>
            </a:solidFill>
            <a:latin typeface="Arial Narrow" panose="020B0606020202030204" pitchFamily="34" charset="0"/>
          </a:endParaRPr>
        </a:p>
      </xdr:txBody>
    </xdr:sp>
    <xdr:clientData/>
  </xdr:twoCellAnchor>
  <xdr:twoCellAnchor editAs="oneCell">
    <xdr:from>
      <xdr:col>0</xdr:col>
      <xdr:colOff>40342</xdr:colOff>
      <xdr:row>2</xdr:row>
      <xdr:rowOff>71717</xdr:rowOff>
    </xdr:from>
    <xdr:to>
      <xdr:col>1</xdr:col>
      <xdr:colOff>457200</xdr:colOff>
      <xdr:row>4</xdr:row>
      <xdr:rowOff>129987</xdr:rowOff>
    </xdr:to>
    <mc:AlternateContent xmlns:mc="http://schemas.openxmlformats.org/markup-compatibility/2006" xmlns:a14="http://schemas.microsoft.com/office/drawing/2010/main">
      <mc:Choice Requires="a14">
        <xdr:graphicFrame macro="">
          <xdr:nvGraphicFramePr>
            <xdr:cNvPr id="61" name="Select Year">
              <a:extLst>
                <a:ext uri="{FF2B5EF4-FFF2-40B4-BE49-F238E27FC236}">
                  <a16:creationId xmlns:a16="http://schemas.microsoft.com/office/drawing/2014/main" id="{06019452-2343-41AE-9F8C-305494AC6470}"/>
                </a:ext>
              </a:extLst>
            </xdr:cNvPr>
            <xdr:cNvGraphicFramePr/>
          </xdr:nvGraphicFramePr>
          <xdr:xfrm>
            <a:off x="0" y="0"/>
            <a:ext cx="0" cy="0"/>
          </xdr:xfrm>
          <a:graphic>
            <a:graphicData uri="http://schemas.microsoft.com/office/drawing/2010/slicer">
              <sle:slicer xmlns:sle="http://schemas.microsoft.com/office/drawing/2010/slicer" name="Select Year"/>
            </a:graphicData>
          </a:graphic>
        </xdr:graphicFrame>
      </mc:Choice>
      <mc:Fallback xmlns="">
        <xdr:sp macro="" textlink="">
          <xdr:nvSpPr>
            <xdr:cNvPr id="0" name=""/>
            <xdr:cNvSpPr>
              <a:spLocks noTextEdit="1"/>
            </xdr:cNvSpPr>
          </xdr:nvSpPr>
          <xdr:spPr>
            <a:xfrm>
              <a:off x="40341" y="519953"/>
              <a:ext cx="1017493" cy="3137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358140</xdr:colOff>
      <xdr:row>2</xdr:row>
      <xdr:rowOff>175260</xdr:rowOff>
    </xdr:from>
    <xdr:to>
      <xdr:col>15</xdr:col>
      <xdr:colOff>259080</xdr:colOff>
      <xdr:row>25</xdr:row>
      <xdr:rowOff>7620</xdr:rowOff>
    </xdr:to>
    <xdr:graphicFrame macro="">
      <xdr:nvGraphicFramePr>
        <xdr:cNvPr id="2" name="Chart 1">
          <a:extLst>
            <a:ext uri="{FF2B5EF4-FFF2-40B4-BE49-F238E27FC236}">
              <a16:creationId xmlns:a16="http://schemas.microsoft.com/office/drawing/2014/main" id="{103B56F8-0CEF-4C2D-AA13-617F6E7D8C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586740</xdr:colOff>
      <xdr:row>0</xdr:row>
      <xdr:rowOff>160020</xdr:rowOff>
    </xdr:from>
    <xdr:to>
      <xdr:col>1</xdr:col>
      <xdr:colOff>403860</xdr:colOff>
      <xdr:row>3</xdr:row>
      <xdr:rowOff>38100</xdr:rowOff>
    </xdr:to>
    <xdr:pic>
      <xdr:nvPicPr>
        <xdr:cNvPr id="6" name="Graphic 5" descr="House">
          <a:hlinkClick xmlns:r="http://schemas.openxmlformats.org/officeDocument/2006/relationships" r:id="rId2"/>
          <a:extLst>
            <a:ext uri="{FF2B5EF4-FFF2-40B4-BE49-F238E27FC236}">
              <a16:creationId xmlns:a16="http://schemas.microsoft.com/office/drawing/2014/main" id="{8DC2086E-2A47-FC62-FF3F-BC930C0CDA5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86740" y="160020"/>
          <a:ext cx="426720" cy="4267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297180</xdr:colOff>
      <xdr:row>3</xdr:row>
      <xdr:rowOff>15240</xdr:rowOff>
    </xdr:from>
    <xdr:to>
      <xdr:col>15</xdr:col>
      <xdr:colOff>327660</xdr:colOff>
      <xdr:row>24</xdr:row>
      <xdr:rowOff>175260</xdr:rowOff>
    </xdr:to>
    <xdr:graphicFrame macro="">
      <xdr:nvGraphicFramePr>
        <xdr:cNvPr id="2" name="Chart 1">
          <a:extLst>
            <a:ext uri="{FF2B5EF4-FFF2-40B4-BE49-F238E27FC236}">
              <a16:creationId xmlns:a16="http://schemas.microsoft.com/office/drawing/2014/main" id="{89CE4F94-8506-40F0-AB3F-4748396B87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594360</xdr:colOff>
      <xdr:row>0</xdr:row>
      <xdr:rowOff>167640</xdr:rowOff>
    </xdr:from>
    <xdr:to>
      <xdr:col>1</xdr:col>
      <xdr:colOff>411480</xdr:colOff>
      <xdr:row>3</xdr:row>
      <xdr:rowOff>45720</xdr:rowOff>
    </xdr:to>
    <xdr:pic>
      <xdr:nvPicPr>
        <xdr:cNvPr id="6" name="Graphic 5" descr="House">
          <a:hlinkClick xmlns:r="http://schemas.openxmlformats.org/officeDocument/2006/relationships" r:id="rId2"/>
          <a:extLst>
            <a:ext uri="{FF2B5EF4-FFF2-40B4-BE49-F238E27FC236}">
              <a16:creationId xmlns:a16="http://schemas.microsoft.com/office/drawing/2014/main" id="{D2AED2A9-41D5-4042-AB39-9FEDA24674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94360" y="167640"/>
          <a:ext cx="426720" cy="4267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594360</xdr:colOff>
      <xdr:row>0</xdr:row>
      <xdr:rowOff>167640</xdr:rowOff>
    </xdr:from>
    <xdr:to>
      <xdr:col>1</xdr:col>
      <xdr:colOff>411480</xdr:colOff>
      <xdr:row>3</xdr:row>
      <xdr:rowOff>45720</xdr:rowOff>
    </xdr:to>
    <xdr:pic>
      <xdr:nvPicPr>
        <xdr:cNvPr id="3" name="Graphic 2" descr="House">
          <a:hlinkClick xmlns:r="http://schemas.openxmlformats.org/officeDocument/2006/relationships" r:id="rId1"/>
          <a:extLst>
            <a:ext uri="{FF2B5EF4-FFF2-40B4-BE49-F238E27FC236}">
              <a16:creationId xmlns:a16="http://schemas.microsoft.com/office/drawing/2014/main" id="{D5476ED2-E7A6-4F43-911E-01393E3E43C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94360" y="167640"/>
          <a:ext cx="426720" cy="426720"/>
        </a:xfrm>
        <a:prstGeom prst="rect">
          <a:avLst/>
        </a:prstGeom>
      </xdr:spPr>
    </xdr:pic>
    <xdr:clientData/>
  </xdr:twoCellAnchor>
  <xdr:twoCellAnchor>
    <xdr:from>
      <xdr:col>1</xdr:col>
      <xdr:colOff>388620</xdr:colOff>
      <xdr:row>3</xdr:row>
      <xdr:rowOff>7620</xdr:rowOff>
    </xdr:from>
    <xdr:to>
      <xdr:col>15</xdr:col>
      <xdr:colOff>320040</xdr:colOff>
      <xdr:row>25</xdr:row>
      <xdr:rowOff>15240</xdr:rowOff>
    </xdr:to>
    <xdr:graphicFrame macro="">
      <xdr:nvGraphicFramePr>
        <xdr:cNvPr id="4" name="Chart 3">
          <a:extLst>
            <a:ext uri="{FF2B5EF4-FFF2-40B4-BE49-F238E27FC236}">
              <a16:creationId xmlns:a16="http://schemas.microsoft.com/office/drawing/2014/main" id="{DD7B6EA1-CEF3-42A5-B9BF-CA38B4B9E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bu Parekh" refreshedDate="46035.426502546296" backgroundQuery="1" createdVersion="8" refreshedVersion="8" minRefreshableVersion="3" recordCount="0" supportSubquery="1" supportAdvancedDrill="1" xr:uid="{745562E3-6AA6-49A6-B4AE-B01FCBFCEA79}">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bu Parekh" refreshedDate="46035.426502893519" backgroundQuery="1" createdVersion="8" refreshedVersion="8" minRefreshableVersion="3" recordCount="0" supportSubquery="1" supportAdvancedDrill="1" xr:uid="{A0D9C3ED-2BF3-4C7F-BA7F-D61A0DF09DBE}">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bu Parekh" refreshedDate="46035.426503125003" backgroundQuery="1" createdVersion="8" refreshedVersion="8" minRefreshableVersion="3" recordCount="0" supportSubquery="1" supportAdvancedDrill="1" xr:uid="{0D40FA6E-511A-4C92-92E3-821C07891271}">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bu Parekh" refreshedDate="46035.426503125003" backgroundQuery="1" createdVersion="8" refreshedVersion="8" minRefreshableVersion="3" recordCount="0" supportSubquery="1" supportAdvancedDrill="1" xr:uid="{A0217213-987B-4042-B15F-2C9B195CC2CE}">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bu Parekh" refreshedDate="46035.426503703704" backgroundQuery="1" createdVersion="8" refreshedVersion="8" minRefreshableVersion="3" recordCount="0" supportSubquery="1" supportAdvancedDrill="1" xr:uid="{6EBC15CD-0C6B-4B3F-A1EE-FD785BD5EA0D}">
  <cacheSource type="external" connectionId="3"/>
  <cacheFields count="4">
    <cacheField name="[Calenda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bu Parekh" refreshedDate="46035.426504282404" backgroundQuery="1" createdVersion="8" refreshedVersion="8" minRefreshableVersion="3" recordCount="0" supportSubquery="1" supportAdvancedDrill="1" xr:uid="{AB7D49DC-B168-4CF4-B1D7-E6EF91080759}">
  <cacheSource type="external" connectionId="3"/>
  <cacheFields count="4">
    <cacheField name="[Calendar_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bu Parekh" refreshedDate="46035.426504745374" backgroundQuery="1" createdVersion="8" refreshedVersion="8" minRefreshableVersion="3" recordCount="0" supportSubquery="1" supportAdvancedDrill="1" xr:uid="{49CA4AD0-3E54-4B25-8744-C3F992A93DB5}">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bu Parekh" refreshedDate="46035.426505208336" backgroundQuery="1" createdVersion="8" refreshedVersion="8" minRefreshableVersion="3" recordCount="0" supportSubquery="1" supportAdvancedDrill="1" xr:uid="{4A405BB6-6932-471E-B1EF-47BE5CA8E0E1}">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bu Parekh" refreshedDate="46035.426505671297" backgroundQuery="1" createdVersion="8" refreshedVersion="8" minRefreshableVersion="3" recordCount="0" supportSubquery="1" supportAdvancedDrill="1" xr:uid="{556752B9-08F2-480E-8032-9D78A3658413}">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bu Parekh" refreshedDate="46035.426506134259" backgroundQuery="1" createdVersion="8" refreshedVersion="8" minRefreshableVersion="3" recordCount="0" supportSubquery="1" supportAdvancedDrill="1" xr:uid="{FFB8294F-4562-4CD8-866B-623D30FA9757}">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bu Parekh" refreshedDate="46035.426506481483" backgroundQuery="1" createdVersion="8" refreshedVersion="8" minRefreshableVersion="3" recordCount="0" supportSubquery="1" supportAdvancedDrill="1" xr:uid="{D6273548-3809-4D2D-93FF-72F5261EA90A}">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bu Parekh" refreshedDate="46035.426506944445" backgroundQuery="1" createdVersion="8" refreshedVersion="8" minRefreshableVersion="3" recordCount="0" supportSubquery="1" supportAdvancedDrill="1" xr:uid="{EF75B0B7-E57F-4BA6-BA0D-C1A084E2B19A}">
  <cacheSource type="external" connectionId="3"/>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hushbu Parekh" refreshedDate="46034.955807175924" backgroundQuery="1" createdVersion="3" refreshedVersion="8" minRefreshableVersion="3" recordCount="0" supportSubquery="1" supportAdvancedDrill="1" xr:uid="{B0FF96B7-BC64-49EE-8789-AF0A2E840B15}">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05469589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C3A1DB-6137-4777-99B3-7D117EE8F255}" name="PivotTable2" cacheId="2" applyNumberFormats="0" applyBorderFormats="0" applyFontFormats="0" applyPatternFormats="0" applyAlignmentFormats="0" applyWidthHeightFormats="1" dataCaption="Values" tag="93b98ab4-f3d0-46e2-9822-5d9475ed6547" updatedVersion="8" minRefreshableVersion="3" subtotalHiddenItems="1" itemPrintTitles="1" createdVersion="8"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0">
      <pivotArea outline="0" collapsedLevelsAreSubtotals="1" fieldPosition="0"/>
    </format>
  </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61517A-7FA4-455C-A517-4300ABF32220}" name="PivotTable1" cacheId="1" applyNumberFormats="0" applyBorderFormats="0" applyFontFormats="0" applyPatternFormats="0" applyAlignmentFormats="0" applyWidthHeightFormats="1" dataCaption="Values" tag="f427b8a6-a793-40e5-8259-4fe30664e999" updatedVersion="8" minRefreshableVersion="3" subtotalHiddenItems="1" itemPrintTitles="1" createdVersion="8"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231A86-815A-40F9-A1C7-CA800AEF6968}" name="PivotTable8" cacheId="7" applyNumberFormats="0" applyBorderFormats="0" applyFontFormats="0" applyPatternFormats="0" applyAlignmentFormats="0" applyWidthHeightFormats="1" dataCaption="Values" tag="e0b61081-5ea9-4e36-b29c-85da42154d41" updatedVersion="8" minRefreshableVersion="3" subtotalHiddenItems="1" itemPrintTitles="1" createdVersion="8" indent="0" outline="1" outlineData="1" multipleFieldFilters="0" chartFormat="16">
  <location ref="A53:B6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1">
      <pivotArea outline="0" collapsedLevelsAreSubtotals="1" fieldPosition="0"/>
    </format>
  </formats>
  <chartFormats count="2">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A1AED4-DD7C-4035-9A77-C3BB1125FEB8}" name="PivotTable9" cacheId="8" applyNumberFormats="0" applyBorderFormats="0" applyFontFormats="0" applyPatternFormats="0" applyAlignmentFormats="0" applyWidthHeightFormats="1" dataCaption="Values" tag="32d96050-d198-4356-ad7e-9f5e76ba5b98" updatedVersion="8" minRefreshableVersion="3" subtotalHiddenItems="1" itemPrintTitles="1" createdVersion="8" indent="0" outline="1" outlineData="1" multipleFieldFilters="0" chartFormat="26">
  <location ref="A66:B6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2">
      <pivotArea outline="0" collapsedLevelsAreSubtotals="1" fieldPosition="0"/>
    </format>
  </formats>
  <chartFormats count="3">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1" count="1" selected="0">
            <x v="0"/>
          </reference>
        </references>
      </pivotArea>
    </chartFormat>
    <chartFormat chart="19"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3D76FB-FC0A-49CD-A249-C826BF0FE0C8}" name="PivotTable5" cacheId="4" applyNumberFormats="0" applyBorderFormats="0" applyFontFormats="0" applyPatternFormats="0" applyAlignmentFormats="0" applyWidthHeightFormats="1" dataCaption="Values" tag="062660a6-3457-4592-81eb-ae59d6c5a393" updatedVersion="8" minRefreshableVersion="3" subtotalHiddenItems="1" itemPrintTitles="1" createdVersion="8" indent="0" outline="1" outlineData="1" multipleFieldFilters="0" chartFormat="17">
  <location ref="J5:K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3">
      <pivotArea outline="0" collapsedLevelsAreSubtotals="1" fieldPosition="0"/>
    </format>
  </formats>
  <chartFormats count="2">
    <chartFormat chart="9"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39A2B4-D8C0-4056-8CF9-EDC4EE6B20D5}" name="PivotTable12" cacheId="11" applyNumberFormats="0" applyBorderFormats="0" applyFontFormats="0" applyPatternFormats="0" applyAlignmentFormats="0" applyWidthHeightFormats="1" dataCaption="Values" tag="658ed0b7-2c11-48ce-80c7-4912632c8a66" updatedVersion="8" minRefreshableVersion="3" subtotalHiddenItems="1" itemPrintTitles="1" createdVersion="8" indent="0" outline="1" outlineData="1" multipleFieldFilters="0" chartFormat="34">
  <location ref="A73:A75"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4">
      <pivotArea outline="0" collapsedLevelsAreSubtotals="1" fieldPosition="0"/>
    </format>
  </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E56D5F-9572-42BC-A977-24EE8EF6ACD9}" name="PivotTable10" cacheId="9" applyNumberFormats="0" applyBorderFormats="0" applyFontFormats="0" applyPatternFormats="0" applyAlignmentFormats="0" applyWidthHeightFormats="1" dataCaption="Values" tag="e3bd42ef-f9ce-474c-8992-91ca1d92e214" updatedVersion="8" minRefreshableVersion="3" subtotalHiddenItems="1" itemPrintTitles="1" createdVersion="8" indent="0" outline="1" outlineData="1" multipleFieldFilters="0" chartFormat="34">
  <location ref="D66:E6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5">
      <pivotArea outline="0" collapsedLevelsAreSubtotals="1" fieldPosition="0"/>
    </format>
  </formats>
  <chartFormats count="3">
    <chartFormat chart="28" format="4" series="1">
      <pivotArea type="data" outline="0" fieldPosition="0">
        <references count="1">
          <reference field="4294967294" count="1" selected="0">
            <x v="0"/>
          </reference>
        </references>
      </pivotArea>
    </chartFormat>
    <chartFormat chart="28" format="5">
      <pivotArea type="data" outline="0" fieldPosition="0">
        <references count="2">
          <reference field="4294967294" count="1" selected="0">
            <x v="0"/>
          </reference>
          <reference field="1" count="1" selected="0">
            <x v="0"/>
          </reference>
        </references>
      </pivotArea>
    </chartFormat>
    <chartFormat chart="28"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E68DF8-BA63-4629-843A-B8EA7CFC625C}" name="PivotTable7" cacheId="6" applyNumberFormats="0" applyBorderFormats="0" applyFontFormats="0" applyPatternFormats="0" applyAlignmentFormats="0" applyWidthHeightFormats="1" dataCaption="Values" tag="903d3b2c-c730-489a-a3f9-c935c42521c9" updatedVersion="8" minRefreshableVersion="3" subtotalHiddenItems="1" itemPrintTitles="1" createdVersion="8" indent="0" outline="1" outlineData="1" multipleFieldFilters="0" chartFormat="9">
  <location ref="A40:C43"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1" baseItem="0" numFmtId="1"/>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7">
      <pivotArea outline="0" collapsedLevelsAreSubtotals="1" fieldPosition="0"/>
    </format>
    <format dxfId="6">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19DF97B-905E-4EE8-BB23-EBEE2DEA8C60}" name="PivotTable3" cacheId="3" applyNumberFormats="0" applyBorderFormats="0" applyFontFormats="0" applyPatternFormats="0" applyAlignmentFormats="0" applyWidthHeightFormats="1" dataCaption="Values" tag="4c38da7c-5402-448b-88b4-34c34c218f11" updatedVersion="8" minRefreshableVersion="3" subtotalHiddenItems="1" itemPrintTitles="1" createdVersion="8" indent="0" outline="1" outlineData="1" multipleFieldFilters="0">
  <location ref="A18:A1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8">
      <pivotArea outline="0" collapsedLevelsAreSubtotals="1" fieldPosition="0"/>
    </format>
  </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209F1DF-0018-4660-829B-ECACDFAE67AF}" name="PivotTable4" cacheId="0" applyNumberFormats="0" applyBorderFormats="0" applyFontFormats="0" applyPatternFormats="0" applyAlignmentFormats="0" applyWidthHeightFormats="1" dataCaption="Values" tag="4c795fc6-a7a7-417d-a719-1b130ab3ad3e" updatedVersion="8" minRefreshableVersion="3" subtotalHiddenItems="1" itemPrintTitles="1" createdVersion="8" indent="0" outline="1" outlineData="1" multipleFieldFilters="0" chartFormat="11">
  <location ref="E5:F37"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918E621-5F94-447F-9E4D-025B68EC9E66}" name="PivotTable6" cacheId="5" applyNumberFormats="0" applyBorderFormats="0" applyFontFormats="0" applyPatternFormats="0" applyAlignmentFormats="0" applyWidthHeightFormats="1" dataCaption="Values" tag="df01b309-d00f-4a6d-aab3-6a0c2db693c5" updatedVersion="8" minRefreshableVersion="3" subtotalHiddenItems="1" itemPrintTitles="1" createdVersion="8" indent="0" outline="1" outlineData="1" multipleFieldFilters="0" chartFormat="24">
  <location ref="N5:O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9">
      <pivotArea outline="0" collapsedLevelsAreSubtotals="1" fieldPosition="0"/>
    </format>
  </formats>
  <chartFormats count="2">
    <chartFormat chart="19"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E0D4F91-23DD-4C51-817A-1B8ECFAC7A53}" name="PivotTable11" cacheId="10" applyNumberFormats="0" applyBorderFormats="0" applyFontFormats="0" applyPatternFormats="0" applyAlignmentFormats="0" applyWidthHeightFormats="1" dataCaption="Values" tag="66de4dbb-8a83-407b-8257-5f093de56f8c" updatedVersion="8" minRefreshableVersion="3" subtotalHiddenItems="1" itemPrintTitles="1" createdVersion="8" indent="0" outline="1" outlineData="1" multipleFieldFilters="0" chartFormat="41">
  <location ref="G66:H75" firstHeaderRow="1" firstDataRow="1" firstDataCol="1"/>
  <pivotFields count="4">
    <pivotField allDrilled="1" subtotalTop="0" showAll="0" dataSourceSort="1" defaultSubtotal="0" defaultAttributeDrillState="1"/>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4"/>
    </i>
    <i>
      <x v="2"/>
    </i>
    <i>
      <x v="5"/>
    </i>
    <i>
      <x/>
    </i>
    <i>
      <x v="6"/>
    </i>
    <i>
      <x v="1"/>
    </i>
    <i>
      <x v="3"/>
    </i>
    <i>
      <x v="7"/>
    </i>
    <i t="grand">
      <x/>
    </i>
  </rowItems>
  <colItems count="1">
    <i/>
  </colItems>
  <dataFields count="1">
    <dataField name="Count of Department Referral" fld="2" subtotal="count" baseField="0" baseItem="0"/>
  </dataFields>
  <formats count="1">
    <format dxfId="10">
      <pivotArea outline="0" collapsedLevelsAreSubtotals="1" fieldPosition="0"/>
    </format>
  </formats>
  <chartFormats count="1">
    <chartFormat chart="3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Ma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D3596E7-7F4F-42CF-9BB6-12C1A0F77FF8}"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054695897">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Ma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639473C-75DE-4DB3-A867-90395EA6475D}"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054695897">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E19D0F11-F177-4755-99DE-0C5BA69D5938}" cache="Slicer_Date__Month" caption="Date (Month)" columnCount="12" showCaption="0" level="1" style="Style2" rowHeight="234950"/>
  <slicer name="Select Year" xr10:uid="{CD4F8E2F-6E6C-460F-9046-FF0165446381}" cache="Slicer_Date__Year" caption="Date (Year)" columnCount="2" showCaption="0" level="1" style="Style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60661-A8D4-48C9-832F-D94371F628FA}">
  <dimension ref="A1:O75"/>
  <sheetViews>
    <sheetView tabSelected="1" topLeftCell="A39" workbookViewId="0">
      <selection activeCell="F51" sqref="F51"/>
    </sheetView>
  </sheetViews>
  <sheetFormatPr defaultRowHeight="14.4" x14ac:dyDescent="0.3"/>
  <cols>
    <col min="1" max="1" width="14.6640625" customWidth="1"/>
    <col min="2" max="2" width="28.109375" bestFit="1" customWidth="1"/>
    <col min="3" max="3" width="8.88671875" customWidth="1"/>
    <col min="4" max="4" width="18.6640625" customWidth="1"/>
    <col min="5" max="5" width="27.109375" bestFit="1" customWidth="1"/>
    <col min="6" max="6" width="23.88671875" bestFit="1" customWidth="1"/>
    <col min="7" max="7" width="15.33203125" bestFit="1" customWidth="1"/>
    <col min="8" max="8" width="26.33203125" bestFit="1" customWidth="1"/>
    <col min="10" max="10" width="12.5546875" bestFit="1" customWidth="1"/>
    <col min="11" max="11" width="23.88671875" bestFit="1" customWidth="1"/>
    <col min="14" max="14" width="12.5546875" bestFit="1" customWidth="1"/>
    <col min="15" max="15" width="25" bestFit="1" customWidth="1"/>
  </cols>
  <sheetData>
    <row r="1" spans="1:15" x14ac:dyDescent="0.3">
      <c r="A1" t="s">
        <v>0</v>
      </c>
    </row>
    <row r="4" spans="1:15" x14ac:dyDescent="0.3">
      <c r="A4" t="s">
        <v>2</v>
      </c>
      <c r="E4" t="s">
        <v>8</v>
      </c>
      <c r="J4" t="s">
        <v>9</v>
      </c>
      <c r="N4" t="s">
        <v>10</v>
      </c>
    </row>
    <row r="5" spans="1:15" x14ac:dyDescent="0.3">
      <c r="A5" t="s">
        <v>1</v>
      </c>
      <c r="E5" s="1" t="s">
        <v>7</v>
      </c>
      <c r="F5" t="s">
        <v>1</v>
      </c>
      <c r="J5" s="1" t="s">
        <v>7</v>
      </c>
      <c r="K5" t="s">
        <v>3</v>
      </c>
      <c r="N5" s="1" t="s">
        <v>7</v>
      </c>
      <c r="O5" t="s">
        <v>4</v>
      </c>
    </row>
    <row r="6" spans="1:15" x14ac:dyDescent="0.3">
      <c r="A6">
        <v>506</v>
      </c>
      <c r="E6" s="4" t="s">
        <v>44</v>
      </c>
      <c r="F6">
        <v>19</v>
      </c>
      <c r="J6" s="4" t="s">
        <v>44</v>
      </c>
      <c r="K6" s="2">
        <v>34.526315789473685</v>
      </c>
      <c r="N6" s="4" t="s">
        <v>44</v>
      </c>
      <c r="O6" s="2">
        <v>7.2</v>
      </c>
    </row>
    <row r="7" spans="1:15" x14ac:dyDescent="0.3">
      <c r="E7" s="4" t="s">
        <v>45</v>
      </c>
      <c r="F7">
        <v>24</v>
      </c>
      <c r="J7" s="4" t="s">
        <v>45</v>
      </c>
      <c r="K7" s="2">
        <v>33.708333333333336</v>
      </c>
      <c r="N7" s="4" t="s">
        <v>45</v>
      </c>
      <c r="O7" s="2">
        <v>6</v>
      </c>
    </row>
    <row r="8" spans="1:15" x14ac:dyDescent="0.3">
      <c r="E8" s="4" t="s">
        <v>46</v>
      </c>
      <c r="F8">
        <v>24</v>
      </c>
      <c r="J8" s="4" t="s">
        <v>46</v>
      </c>
      <c r="K8" s="2">
        <v>36.291666666666664</v>
      </c>
      <c r="N8" s="4" t="s">
        <v>46</v>
      </c>
      <c r="O8" s="2">
        <v>1.5</v>
      </c>
    </row>
    <row r="9" spans="1:15" x14ac:dyDescent="0.3">
      <c r="E9" s="4" t="s">
        <v>47</v>
      </c>
      <c r="F9">
        <v>14</v>
      </c>
      <c r="J9" s="4" t="s">
        <v>47</v>
      </c>
      <c r="K9" s="2">
        <v>35.071428571428569</v>
      </c>
      <c r="N9" s="4" t="s">
        <v>47</v>
      </c>
      <c r="O9" s="2">
        <v>2.75</v>
      </c>
    </row>
    <row r="10" spans="1:15" x14ac:dyDescent="0.3">
      <c r="E10" s="4" t="s">
        <v>48</v>
      </c>
      <c r="F10">
        <v>14</v>
      </c>
      <c r="J10" s="4" t="s">
        <v>48</v>
      </c>
      <c r="K10" s="2">
        <v>31.571428571428573</v>
      </c>
      <c r="N10" s="4" t="s">
        <v>48</v>
      </c>
      <c r="O10" s="2">
        <v>5</v>
      </c>
    </row>
    <row r="11" spans="1:15" x14ac:dyDescent="0.3">
      <c r="E11" s="4" t="s">
        <v>49</v>
      </c>
      <c r="F11">
        <v>16</v>
      </c>
      <c r="J11" s="4" t="s">
        <v>49</v>
      </c>
      <c r="K11" s="2">
        <v>31.8125</v>
      </c>
      <c r="N11" s="4" t="s">
        <v>49</v>
      </c>
      <c r="O11" s="2">
        <v>5.5</v>
      </c>
    </row>
    <row r="12" spans="1:15" x14ac:dyDescent="0.3">
      <c r="A12" t="s">
        <v>3</v>
      </c>
      <c r="E12" s="4" t="s">
        <v>50</v>
      </c>
      <c r="F12">
        <v>26</v>
      </c>
      <c r="J12" s="4" t="s">
        <v>50</v>
      </c>
      <c r="K12" s="2">
        <v>36.846153846153847</v>
      </c>
      <c r="N12" s="4" t="s">
        <v>50</v>
      </c>
      <c r="O12" s="2">
        <v>5.0909090909090908</v>
      </c>
    </row>
    <row r="13" spans="1:15" x14ac:dyDescent="0.3">
      <c r="A13" s="2">
        <v>35.879446640316203</v>
      </c>
      <c r="E13" s="4" t="s">
        <v>51</v>
      </c>
      <c r="F13">
        <v>14</v>
      </c>
      <c r="J13" s="4" t="s">
        <v>51</v>
      </c>
      <c r="K13" s="2">
        <v>34.071428571428569</v>
      </c>
      <c r="N13" s="4" t="s">
        <v>51</v>
      </c>
      <c r="O13" s="2">
        <v>7.666666666666667</v>
      </c>
    </row>
    <row r="14" spans="1:15" x14ac:dyDescent="0.3">
      <c r="E14" s="4" t="s">
        <v>52</v>
      </c>
      <c r="F14">
        <v>22</v>
      </c>
      <c r="J14" s="4" t="s">
        <v>52</v>
      </c>
      <c r="K14" s="2">
        <v>33</v>
      </c>
      <c r="N14" s="4" t="s">
        <v>52</v>
      </c>
      <c r="O14" s="2">
        <v>3.5</v>
      </c>
    </row>
    <row r="15" spans="1:15" x14ac:dyDescent="0.3">
      <c r="E15" s="4" t="s">
        <v>53</v>
      </c>
      <c r="F15">
        <v>18</v>
      </c>
      <c r="J15" s="4" t="s">
        <v>53</v>
      </c>
      <c r="K15" s="2">
        <v>40.222222222222221</v>
      </c>
      <c r="N15" s="4" t="s">
        <v>53</v>
      </c>
      <c r="O15" s="2">
        <v>3.6666666666666665</v>
      </c>
    </row>
    <row r="16" spans="1:15" x14ac:dyDescent="0.3">
      <c r="E16" s="4" t="s">
        <v>54</v>
      </c>
      <c r="F16">
        <v>20</v>
      </c>
      <c r="J16" s="4" t="s">
        <v>54</v>
      </c>
      <c r="K16" s="2">
        <v>42.05</v>
      </c>
      <c r="N16" s="4" t="s">
        <v>54</v>
      </c>
      <c r="O16" s="2">
        <v>3.8</v>
      </c>
    </row>
    <row r="17" spans="1:15" x14ac:dyDescent="0.3">
      <c r="E17" s="4" t="s">
        <v>55</v>
      </c>
      <c r="F17">
        <v>13</v>
      </c>
      <c r="J17" s="4" t="s">
        <v>55</v>
      </c>
      <c r="K17" s="2">
        <v>42.615384615384613</v>
      </c>
      <c r="N17" s="4" t="s">
        <v>55</v>
      </c>
      <c r="O17" s="2">
        <v>1</v>
      </c>
    </row>
    <row r="18" spans="1:15" x14ac:dyDescent="0.3">
      <c r="A18" t="s">
        <v>4</v>
      </c>
      <c r="E18" s="4" t="s">
        <v>56</v>
      </c>
      <c r="F18">
        <v>13</v>
      </c>
      <c r="J18" s="4" t="s">
        <v>56</v>
      </c>
      <c r="K18" s="2">
        <v>40.46153846153846</v>
      </c>
      <c r="N18" s="4" t="s">
        <v>56</v>
      </c>
      <c r="O18" s="2">
        <v>7</v>
      </c>
    </row>
    <row r="19" spans="1:15" x14ac:dyDescent="0.3">
      <c r="A19" s="2">
        <v>5.3277310924369745</v>
      </c>
      <c r="E19" s="4" t="s">
        <v>57</v>
      </c>
      <c r="F19">
        <v>14</v>
      </c>
      <c r="J19" s="4" t="s">
        <v>57</v>
      </c>
      <c r="K19" s="2">
        <v>34.071428571428569</v>
      </c>
      <c r="N19" s="4" t="s">
        <v>57</v>
      </c>
      <c r="O19" s="2">
        <v>5</v>
      </c>
    </row>
    <row r="20" spans="1:15" x14ac:dyDescent="0.3">
      <c r="E20" s="4" t="s">
        <v>58</v>
      </c>
      <c r="F20">
        <v>13</v>
      </c>
      <c r="J20" s="4" t="s">
        <v>58</v>
      </c>
      <c r="K20" s="2">
        <v>33.92307692307692</v>
      </c>
      <c r="N20" s="4" t="s">
        <v>58</v>
      </c>
      <c r="O20" s="2">
        <v>4.25</v>
      </c>
    </row>
    <row r="21" spans="1:15" x14ac:dyDescent="0.3">
      <c r="E21" s="4" t="s">
        <v>59</v>
      </c>
      <c r="F21">
        <v>18</v>
      </c>
      <c r="J21" s="4" t="s">
        <v>59</v>
      </c>
      <c r="K21" s="2">
        <v>43.166666666666664</v>
      </c>
      <c r="N21" s="4" t="s">
        <v>59</v>
      </c>
      <c r="O21" s="2">
        <v>4</v>
      </c>
    </row>
    <row r="22" spans="1:15" x14ac:dyDescent="0.3">
      <c r="E22" s="4" t="s">
        <v>60</v>
      </c>
      <c r="F22">
        <v>12</v>
      </c>
      <c r="J22" s="4" t="s">
        <v>60</v>
      </c>
      <c r="K22" s="2">
        <v>42.25</v>
      </c>
      <c r="N22" s="4" t="s">
        <v>60</v>
      </c>
      <c r="O22" s="2">
        <v>7.333333333333333</v>
      </c>
    </row>
    <row r="23" spans="1:15" x14ac:dyDescent="0.3">
      <c r="E23" s="4" t="s">
        <v>61</v>
      </c>
      <c r="F23">
        <v>11</v>
      </c>
      <c r="J23" s="4" t="s">
        <v>61</v>
      </c>
      <c r="K23" s="2">
        <v>44.090909090909093</v>
      </c>
      <c r="N23" s="4" t="s">
        <v>61</v>
      </c>
      <c r="O23" s="2">
        <v>9</v>
      </c>
    </row>
    <row r="24" spans="1:15" x14ac:dyDescent="0.3">
      <c r="E24" s="4" t="s">
        <v>62</v>
      </c>
      <c r="F24">
        <v>14</v>
      </c>
      <c r="J24" s="4" t="s">
        <v>62</v>
      </c>
      <c r="K24" s="2">
        <v>39</v>
      </c>
      <c r="N24" s="4" t="s">
        <v>62</v>
      </c>
      <c r="O24" s="2">
        <v>5.25</v>
      </c>
    </row>
    <row r="25" spans="1:15" x14ac:dyDescent="0.3">
      <c r="E25" s="4" t="s">
        <v>63</v>
      </c>
      <c r="F25">
        <v>12</v>
      </c>
      <c r="J25" s="4" t="s">
        <v>63</v>
      </c>
      <c r="K25" s="2">
        <v>31.25</v>
      </c>
      <c r="N25" s="4" t="s">
        <v>63</v>
      </c>
      <c r="O25" s="2">
        <v>6.6</v>
      </c>
    </row>
    <row r="26" spans="1:15" x14ac:dyDescent="0.3">
      <c r="E26" s="4" t="s">
        <v>64</v>
      </c>
      <c r="F26">
        <v>16</v>
      </c>
      <c r="J26" s="4" t="s">
        <v>64</v>
      </c>
      <c r="K26" s="2">
        <v>28.5</v>
      </c>
      <c r="N26" s="4" t="s">
        <v>64</v>
      </c>
      <c r="O26" s="2">
        <v>6.25</v>
      </c>
    </row>
    <row r="27" spans="1:15" x14ac:dyDescent="0.3">
      <c r="E27" s="4" t="s">
        <v>65</v>
      </c>
      <c r="F27">
        <v>16</v>
      </c>
      <c r="J27" s="4" t="s">
        <v>65</v>
      </c>
      <c r="K27" s="2">
        <v>34.0625</v>
      </c>
      <c r="N27" s="4" t="s">
        <v>65</v>
      </c>
      <c r="O27" s="2">
        <v>6.333333333333333</v>
      </c>
    </row>
    <row r="28" spans="1:15" x14ac:dyDescent="0.3">
      <c r="E28" s="4" t="s">
        <v>66</v>
      </c>
      <c r="F28">
        <v>15</v>
      </c>
      <c r="J28" s="4" t="s">
        <v>66</v>
      </c>
      <c r="K28" s="2">
        <v>25.2</v>
      </c>
      <c r="N28" s="4" t="s">
        <v>66</v>
      </c>
      <c r="O28" s="2">
        <v>7</v>
      </c>
    </row>
    <row r="29" spans="1:15" x14ac:dyDescent="0.3">
      <c r="E29" s="4" t="s">
        <v>67</v>
      </c>
      <c r="F29">
        <v>22</v>
      </c>
      <c r="J29" s="4" t="s">
        <v>67</v>
      </c>
      <c r="K29" s="2">
        <v>35.863636363636367</v>
      </c>
      <c r="N29" s="4" t="s">
        <v>67</v>
      </c>
      <c r="O29" s="2">
        <v>5.666666666666667</v>
      </c>
    </row>
    <row r="30" spans="1:15" x14ac:dyDescent="0.3">
      <c r="E30" s="4" t="s">
        <v>68</v>
      </c>
      <c r="F30">
        <v>18</v>
      </c>
      <c r="J30" s="4" t="s">
        <v>68</v>
      </c>
      <c r="K30" s="2">
        <v>39.833333333333336</v>
      </c>
      <c r="N30" s="4" t="s">
        <v>68</v>
      </c>
      <c r="O30" s="2">
        <v>3.3333333333333335</v>
      </c>
    </row>
    <row r="31" spans="1:15" x14ac:dyDescent="0.3">
      <c r="E31" s="4" t="s">
        <v>69</v>
      </c>
      <c r="F31">
        <v>10</v>
      </c>
      <c r="J31" s="4" t="s">
        <v>69</v>
      </c>
      <c r="K31" s="2">
        <v>37</v>
      </c>
      <c r="N31" s="4" t="s">
        <v>69</v>
      </c>
      <c r="O31" s="2">
        <v>4.75</v>
      </c>
    </row>
    <row r="32" spans="1:15" x14ac:dyDescent="0.3">
      <c r="E32" s="4" t="s">
        <v>70</v>
      </c>
      <c r="F32">
        <v>17</v>
      </c>
      <c r="J32" s="4" t="s">
        <v>70</v>
      </c>
      <c r="K32" s="2">
        <v>39.411764705882355</v>
      </c>
      <c r="N32" s="4" t="s">
        <v>70</v>
      </c>
      <c r="O32" s="2">
        <v>2</v>
      </c>
    </row>
    <row r="33" spans="1:15" x14ac:dyDescent="0.3">
      <c r="E33" s="4" t="s">
        <v>71</v>
      </c>
      <c r="F33">
        <v>17</v>
      </c>
      <c r="J33" s="4" t="s">
        <v>71</v>
      </c>
      <c r="K33" s="2">
        <v>30.294117647058822</v>
      </c>
      <c r="N33" s="4" t="s">
        <v>71</v>
      </c>
      <c r="O33" s="2">
        <v>9.25</v>
      </c>
    </row>
    <row r="34" spans="1:15" x14ac:dyDescent="0.3">
      <c r="E34" s="4" t="s">
        <v>72</v>
      </c>
      <c r="F34">
        <v>12</v>
      </c>
      <c r="J34" s="4" t="s">
        <v>72</v>
      </c>
      <c r="K34" s="2">
        <v>32.666666666666664</v>
      </c>
      <c r="N34" s="4" t="s">
        <v>72</v>
      </c>
      <c r="O34" s="2">
        <v>2.6666666666666665</v>
      </c>
    </row>
    <row r="35" spans="1:15" x14ac:dyDescent="0.3">
      <c r="E35" s="4" t="s">
        <v>73</v>
      </c>
      <c r="F35">
        <v>14</v>
      </c>
      <c r="J35" s="4" t="s">
        <v>73</v>
      </c>
      <c r="K35" s="2">
        <v>30.571428571428573</v>
      </c>
      <c r="N35" s="4" t="s">
        <v>73</v>
      </c>
      <c r="O35" s="2">
        <v>4</v>
      </c>
    </row>
    <row r="36" spans="1:15" x14ac:dyDescent="0.3">
      <c r="E36" s="4" t="s">
        <v>74</v>
      </c>
      <c r="F36">
        <v>18</v>
      </c>
      <c r="J36" s="4" t="s">
        <v>74</v>
      </c>
      <c r="K36" s="2">
        <v>39.055555555555557</v>
      </c>
      <c r="N36" s="4" t="s">
        <v>74</v>
      </c>
      <c r="O36" s="2">
        <v>8.75</v>
      </c>
    </row>
    <row r="37" spans="1:15" x14ac:dyDescent="0.3">
      <c r="E37" s="4" t="s">
        <v>5</v>
      </c>
      <c r="F37">
        <v>506</v>
      </c>
      <c r="J37" s="4" t="s">
        <v>5</v>
      </c>
      <c r="K37" s="2">
        <v>35.879446640316203</v>
      </c>
      <c r="N37" s="4" t="s">
        <v>5</v>
      </c>
      <c r="O37" s="2">
        <v>5.3277310924369745</v>
      </c>
    </row>
    <row r="40" spans="1:15" x14ac:dyDescent="0.3">
      <c r="A40" s="1" t="s">
        <v>7</v>
      </c>
      <c r="B40" t="s">
        <v>13</v>
      </c>
      <c r="C40" t="s">
        <v>14</v>
      </c>
    </row>
    <row r="41" spans="1:15" x14ac:dyDescent="0.3">
      <c r="A41" s="4" t="s">
        <v>11</v>
      </c>
      <c r="B41" s="5">
        <v>253</v>
      </c>
      <c r="C41" s="6">
        <v>0.5</v>
      </c>
    </row>
    <row r="42" spans="1:15" x14ac:dyDescent="0.3">
      <c r="A42" s="4" t="s">
        <v>12</v>
      </c>
      <c r="B42" s="5">
        <v>253</v>
      </c>
      <c r="C42" s="6">
        <v>0.5</v>
      </c>
    </row>
    <row r="43" spans="1:15" x14ac:dyDescent="0.3">
      <c r="A43" s="4" t="s">
        <v>5</v>
      </c>
      <c r="B43" s="5">
        <v>506</v>
      </c>
      <c r="C43" s="6">
        <v>1</v>
      </c>
    </row>
    <row r="47" spans="1:15" x14ac:dyDescent="0.3">
      <c r="A47" s="7" t="s">
        <v>15</v>
      </c>
      <c r="B47" s="7" t="s">
        <v>17</v>
      </c>
      <c r="C47" s="7" t="s">
        <v>16</v>
      </c>
      <c r="D47" s="8"/>
      <c r="E47" s="8"/>
    </row>
    <row r="48" spans="1:15" x14ac:dyDescent="0.3">
      <c r="A48" s="9" t="str">
        <f>A42</f>
        <v>Not Admitted</v>
      </c>
      <c r="B48" s="9">
        <f>B42</f>
        <v>253</v>
      </c>
      <c r="C48" s="10">
        <f>C42</f>
        <v>0.5</v>
      </c>
      <c r="D48" s="11"/>
      <c r="E48" s="11"/>
    </row>
    <row r="49" spans="1:5" x14ac:dyDescent="0.3">
      <c r="A49" s="9" t="str">
        <f>A41</f>
        <v>Admitted</v>
      </c>
      <c r="B49" s="9">
        <f>B41</f>
        <v>253</v>
      </c>
      <c r="C49" s="10">
        <f>C41</f>
        <v>0.5</v>
      </c>
      <c r="D49" s="11"/>
      <c r="E49" s="11"/>
    </row>
    <row r="52" spans="1:5" x14ac:dyDescent="0.3">
      <c r="A52" t="s">
        <v>27</v>
      </c>
    </row>
    <row r="53" spans="1:5" x14ac:dyDescent="0.3">
      <c r="A53" s="1" t="s">
        <v>7</v>
      </c>
      <c r="B53" t="s">
        <v>26</v>
      </c>
    </row>
    <row r="54" spans="1:5" x14ac:dyDescent="0.3">
      <c r="A54" s="4" t="s">
        <v>18</v>
      </c>
      <c r="B54" s="5">
        <v>64</v>
      </c>
    </row>
    <row r="55" spans="1:5" x14ac:dyDescent="0.3">
      <c r="A55" s="4" t="s">
        <v>19</v>
      </c>
      <c r="B55" s="5">
        <v>66</v>
      </c>
    </row>
    <row r="56" spans="1:5" x14ac:dyDescent="0.3">
      <c r="A56" s="4" t="s">
        <v>20</v>
      </c>
      <c r="B56" s="5">
        <v>65</v>
      </c>
    </row>
    <row r="57" spans="1:5" x14ac:dyDescent="0.3">
      <c r="A57" s="4" t="s">
        <v>21</v>
      </c>
      <c r="B57" s="5">
        <v>73</v>
      </c>
    </row>
    <row r="58" spans="1:5" x14ac:dyDescent="0.3">
      <c r="A58" s="4" t="s">
        <v>22</v>
      </c>
      <c r="B58" s="5">
        <v>45</v>
      </c>
    </row>
    <row r="59" spans="1:5" x14ac:dyDescent="0.3">
      <c r="A59" s="4" t="s">
        <v>23</v>
      </c>
      <c r="B59" s="5">
        <v>72</v>
      </c>
    </row>
    <row r="60" spans="1:5" x14ac:dyDescent="0.3">
      <c r="A60" s="4" t="s">
        <v>24</v>
      </c>
      <c r="B60" s="5">
        <v>74</v>
      </c>
    </row>
    <row r="61" spans="1:5" x14ac:dyDescent="0.3">
      <c r="A61" s="4" t="s">
        <v>25</v>
      </c>
      <c r="B61" s="5">
        <v>47</v>
      </c>
    </row>
    <row r="62" spans="1:5" x14ac:dyDescent="0.3">
      <c r="A62" s="4" t="s">
        <v>5</v>
      </c>
      <c r="B62" s="5">
        <v>506</v>
      </c>
    </row>
    <row r="65" spans="1:8" x14ac:dyDescent="0.3">
      <c r="A65" s="4" t="s">
        <v>31</v>
      </c>
    </row>
    <row r="66" spans="1:8" x14ac:dyDescent="0.3">
      <c r="A66" s="1" t="s">
        <v>7</v>
      </c>
      <c r="B66" t="s">
        <v>30</v>
      </c>
      <c r="D66" s="1" t="s">
        <v>7</v>
      </c>
      <c r="E66" t="s">
        <v>34</v>
      </c>
      <c r="G66" s="1" t="s">
        <v>7</v>
      </c>
      <c r="H66" t="s">
        <v>43</v>
      </c>
    </row>
    <row r="67" spans="1:8" x14ac:dyDescent="0.3">
      <c r="A67" s="4" t="s">
        <v>29</v>
      </c>
      <c r="B67" s="5">
        <v>312</v>
      </c>
      <c r="D67" s="4" t="s">
        <v>32</v>
      </c>
      <c r="E67" s="5">
        <v>231</v>
      </c>
      <c r="G67" s="4" t="s">
        <v>39</v>
      </c>
      <c r="H67" s="5">
        <v>311</v>
      </c>
    </row>
    <row r="68" spans="1:8" x14ac:dyDescent="0.3">
      <c r="A68" s="4" t="s">
        <v>28</v>
      </c>
      <c r="B68" s="5">
        <v>194</v>
      </c>
      <c r="D68" s="4" t="s">
        <v>33</v>
      </c>
      <c r="E68" s="5">
        <v>275</v>
      </c>
      <c r="G68" s="4" t="s">
        <v>37</v>
      </c>
      <c r="H68" s="5">
        <v>93</v>
      </c>
    </row>
    <row r="69" spans="1:8" x14ac:dyDescent="0.3">
      <c r="A69" s="4" t="s">
        <v>5</v>
      </c>
      <c r="B69" s="5">
        <v>506</v>
      </c>
      <c r="D69" s="4" t="s">
        <v>5</v>
      </c>
      <c r="E69" s="5">
        <v>506</v>
      </c>
      <c r="G69" s="4" t="s">
        <v>40</v>
      </c>
      <c r="H69" s="5">
        <v>59</v>
      </c>
    </row>
    <row r="70" spans="1:8" x14ac:dyDescent="0.3">
      <c r="G70" s="4" t="s">
        <v>35</v>
      </c>
      <c r="H70" s="5">
        <v>15</v>
      </c>
    </row>
    <row r="71" spans="1:8" x14ac:dyDescent="0.3">
      <c r="G71" s="4" t="s">
        <v>41</v>
      </c>
      <c r="H71" s="5">
        <v>14</v>
      </c>
    </row>
    <row r="72" spans="1:8" x14ac:dyDescent="0.3">
      <c r="G72" s="4" t="s">
        <v>36</v>
      </c>
      <c r="H72" s="5">
        <v>6</v>
      </c>
    </row>
    <row r="73" spans="1:8" x14ac:dyDescent="0.3">
      <c r="A73" s="1" t="s">
        <v>7</v>
      </c>
      <c r="G73" s="4" t="s">
        <v>38</v>
      </c>
      <c r="H73" s="5">
        <v>5</v>
      </c>
    </row>
    <row r="74" spans="1:8" x14ac:dyDescent="0.3">
      <c r="A74" s="4" t="s">
        <v>6</v>
      </c>
      <c r="G74" s="4" t="s">
        <v>42</v>
      </c>
      <c r="H74" s="5">
        <v>3</v>
      </c>
    </row>
    <row r="75" spans="1:8" x14ac:dyDescent="0.3">
      <c r="A75" s="4" t="s">
        <v>5</v>
      </c>
      <c r="G75" s="4" t="s">
        <v>5</v>
      </c>
      <c r="H75" s="5">
        <v>506</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EFD41-63E6-4BFE-B05C-D42B83553413}">
  <dimension ref="A1:M16"/>
  <sheetViews>
    <sheetView zoomScale="170" zoomScaleNormal="170" zoomScaleSheetLayoutView="160" workbookViewId="0">
      <selection activeCell="O2" sqref="O2"/>
    </sheetView>
  </sheetViews>
  <sheetFormatPr defaultRowHeight="14.4" x14ac:dyDescent="0.3"/>
  <sheetData>
    <row r="1" spans="1:13" x14ac:dyDescent="0.3">
      <c r="A1" s="3"/>
      <c r="B1" s="3"/>
      <c r="C1" s="3"/>
      <c r="D1" s="3"/>
      <c r="E1" s="3"/>
      <c r="F1" s="3"/>
      <c r="G1" s="3"/>
      <c r="H1" s="3"/>
      <c r="I1" s="3"/>
      <c r="J1" s="3"/>
      <c r="K1" s="3"/>
      <c r="L1" s="3"/>
      <c r="M1" s="3"/>
    </row>
    <row r="2" spans="1:13" x14ac:dyDescent="0.3">
      <c r="A2" s="3"/>
      <c r="B2" s="3"/>
      <c r="C2" s="3"/>
      <c r="D2" s="3"/>
      <c r="E2" s="3"/>
      <c r="F2" s="3"/>
      <c r="G2" s="3"/>
      <c r="H2" s="3"/>
      <c r="I2" s="3"/>
      <c r="J2" s="3"/>
      <c r="K2" s="3"/>
      <c r="L2" s="3"/>
      <c r="M2" s="3"/>
    </row>
    <row r="3" spans="1:13" x14ac:dyDescent="0.3">
      <c r="A3" s="3"/>
      <c r="B3" s="3"/>
      <c r="C3" s="3"/>
      <c r="D3" s="3"/>
      <c r="E3" s="3"/>
      <c r="F3" s="3"/>
      <c r="G3" s="3"/>
      <c r="H3" s="3"/>
      <c r="I3" s="3"/>
      <c r="J3" s="3"/>
      <c r="K3" s="3"/>
      <c r="L3" s="3"/>
      <c r="M3" s="3"/>
    </row>
    <row r="4" spans="1:13" x14ac:dyDescent="0.3">
      <c r="A4" s="3"/>
      <c r="B4" s="3"/>
      <c r="C4" s="3"/>
      <c r="D4" s="3"/>
      <c r="E4" s="3"/>
      <c r="F4" s="3"/>
      <c r="G4" s="3"/>
      <c r="H4" s="3"/>
      <c r="I4" s="3"/>
      <c r="J4" s="3"/>
      <c r="K4" s="3"/>
      <c r="L4" s="3"/>
      <c r="M4" s="3"/>
    </row>
    <row r="5" spans="1:13" x14ac:dyDescent="0.3">
      <c r="A5" s="3"/>
      <c r="B5" s="3"/>
      <c r="C5" s="3"/>
      <c r="D5" s="3"/>
      <c r="E5" s="3"/>
      <c r="F5" s="3"/>
      <c r="G5" s="3"/>
      <c r="H5" s="3"/>
      <c r="I5" s="3"/>
      <c r="J5" s="3"/>
      <c r="K5" s="3"/>
      <c r="L5" s="3"/>
      <c r="M5" s="3"/>
    </row>
    <row r="6" spans="1:13" x14ac:dyDescent="0.3">
      <c r="A6" s="3"/>
      <c r="B6" s="3"/>
      <c r="C6" s="3"/>
      <c r="D6" s="3"/>
      <c r="E6" s="3"/>
      <c r="F6" s="3"/>
      <c r="G6" s="3"/>
      <c r="H6" s="3"/>
      <c r="I6" s="3"/>
      <c r="J6" s="3"/>
      <c r="K6" s="3"/>
      <c r="L6" s="3"/>
      <c r="M6" s="3"/>
    </row>
    <row r="7" spans="1:13" x14ac:dyDescent="0.3">
      <c r="A7" s="3"/>
      <c r="B7" s="3"/>
      <c r="C7" s="3"/>
      <c r="D7" s="3"/>
      <c r="E7" s="3"/>
      <c r="F7" s="3"/>
      <c r="G7" s="3"/>
      <c r="H7" s="3"/>
      <c r="I7" s="3"/>
      <c r="J7" s="3"/>
      <c r="K7" s="3"/>
      <c r="L7" s="3"/>
      <c r="M7" s="3"/>
    </row>
    <row r="8" spans="1:13" x14ac:dyDescent="0.3">
      <c r="A8" s="3"/>
      <c r="B8" s="3"/>
      <c r="C8" s="3"/>
      <c r="D8" s="3"/>
      <c r="E8" s="3"/>
      <c r="F8" s="3"/>
      <c r="G8" s="3"/>
      <c r="H8" s="3"/>
      <c r="I8" s="3"/>
      <c r="J8" s="3"/>
      <c r="K8" s="3"/>
      <c r="L8" s="3"/>
      <c r="M8" s="3"/>
    </row>
    <row r="9" spans="1:13" x14ac:dyDescent="0.3">
      <c r="A9" s="3"/>
      <c r="B9" s="3"/>
      <c r="C9" s="3"/>
      <c r="D9" s="3"/>
      <c r="E9" s="3"/>
      <c r="F9" s="3"/>
      <c r="G9" s="3"/>
      <c r="H9" s="3"/>
      <c r="I9" s="3"/>
      <c r="J9" s="3"/>
      <c r="K9" s="3"/>
      <c r="L9" s="3"/>
      <c r="M9" s="3"/>
    </row>
    <row r="10" spans="1:13" x14ac:dyDescent="0.3">
      <c r="A10" s="3"/>
      <c r="B10" s="3"/>
      <c r="C10" s="3"/>
      <c r="D10" s="3"/>
      <c r="E10" s="3"/>
      <c r="F10" s="3"/>
      <c r="G10" s="3"/>
      <c r="H10" s="3"/>
      <c r="I10" s="3"/>
      <c r="J10" s="3"/>
      <c r="K10" s="3"/>
      <c r="L10" s="3"/>
      <c r="M10" s="3"/>
    </row>
    <row r="11" spans="1:13" x14ac:dyDescent="0.3">
      <c r="A11" s="3"/>
      <c r="B11" s="3"/>
      <c r="C11" s="3"/>
      <c r="D11" s="3"/>
      <c r="E11" s="3"/>
      <c r="F11" s="3"/>
      <c r="G11" s="3"/>
      <c r="H11" s="3"/>
      <c r="I11" s="3"/>
      <c r="J11" s="3"/>
      <c r="K11" s="3"/>
      <c r="L11" s="3"/>
      <c r="M11" s="3"/>
    </row>
    <row r="12" spans="1:13" x14ac:dyDescent="0.3">
      <c r="A12" s="3"/>
      <c r="B12" s="3"/>
      <c r="C12" s="3"/>
      <c r="D12" s="3"/>
      <c r="E12" s="3"/>
      <c r="F12" s="3"/>
      <c r="G12" s="3"/>
      <c r="H12" s="3"/>
      <c r="I12" s="3"/>
      <c r="J12" s="3"/>
      <c r="K12" s="3"/>
      <c r="L12" s="3"/>
      <c r="M12" s="3"/>
    </row>
    <row r="13" spans="1:13" x14ac:dyDescent="0.3">
      <c r="A13" s="3"/>
      <c r="B13" s="3"/>
      <c r="C13" s="3"/>
      <c r="D13" s="3"/>
      <c r="E13" s="3"/>
      <c r="F13" s="3"/>
      <c r="G13" s="3"/>
      <c r="H13" s="3"/>
      <c r="I13" s="3"/>
      <c r="J13" s="3"/>
      <c r="K13" s="3"/>
      <c r="L13" s="3"/>
      <c r="M13" s="3"/>
    </row>
    <row r="14" spans="1:13" x14ac:dyDescent="0.3">
      <c r="A14" s="3"/>
      <c r="B14" s="3"/>
      <c r="C14" s="3"/>
      <c r="D14" s="3"/>
      <c r="E14" s="3"/>
      <c r="F14" s="3"/>
      <c r="G14" s="3"/>
      <c r="H14" s="3"/>
      <c r="I14" s="3"/>
      <c r="J14" s="3"/>
      <c r="K14" s="3"/>
      <c r="L14" s="3"/>
      <c r="M14" s="3"/>
    </row>
    <row r="15" spans="1:13" x14ac:dyDescent="0.3">
      <c r="A15" s="3"/>
      <c r="B15" s="3"/>
      <c r="C15" s="3"/>
      <c r="D15" s="3"/>
      <c r="E15" s="3"/>
      <c r="F15" s="3"/>
      <c r="G15" s="3"/>
      <c r="H15" s="3"/>
      <c r="I15" s="3"/>
      <c r="J15" s="3"/>
      <c r="K15" s="3"/>
      <c r="L15" s="3"/>
      <c r="M15" s="3"/>
    </row>
    <row r="16" spans="1:13" x14ac:dyDescent="0.3">
      <c r="A16" s="3"/>
      <c r="B16" s="3"/>
      <c r="C16" s="3"/>
      <c r="D16" s="3"/>
      <c r="E16" s="3"/>
      <c r="F16" s="3"/>
      <c r="G16" s="3"/>
      <c r="H16" s="3"/>
      <c r="I16" s="3"/>
      <c r="J16" s="3"/>
      <c r="K16" s="3"/>
      <c r="L16" s="3"/>
      <c r="M16" s="3"/>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1F7F7-2B6E-4D7C-A127-5EB8C4FF0E50}">
  <dimension ref="B2:P27"/>
  <sheetViews>
    <sheetView workbookViewId="0">
      <selection activeCell="A3" sqref="A3"/>
    </sheetView>
  </sheetViews>
  <sheetFormatPr defaultRowHeight="14.4" x14ac:dyDescent="0.3"/>
  <sheetData>
    <row r="2" spans="2:16" x14ac:dyDescent="0.3">
      <c r="B2" s="3"/>
      <c r="C2" s="3"/>
      <c r="D2" s="3"/>
      <c r="E2" s="3"/>
      <c r="F2" s="3"/>
      <c r="G2" s="3"/>
      <c r="H2" s="3"/>
      <c r="I2" s="3"/>
      <c r="J2" s="3"/>
      <c r="K2" s="3"/>
      <c r="L2" s="3"/>
      <c r="M2" s="3"/>
      <c r="N2" s="3"/>
      <c r="O2" s="3"/>
      <c r="P2" s="3"/>
    </row>
    <row r="3" spans="2:16" x14ac:dyDescent="0.3">
      <c r="B3" s="3"/>
      <c r="C3" s="3"/>
      <c r="D3" s="3"/>
      <c r="E3" s="3"/>
      <c r="F3" s="3"/>
      <c r="G3" s="3"/>
      <c r="H3" s="3"/>
      <c r="I3" s="3"/>
      <c r="J3" s="3"/>
      <c r="K3" s="3"/>
      <c r="L3" s="3"/>
      <c r="M3" s="3"/>
      <c r="N3" s="3"/>
      <c r="O3" s="3"/>
      <c r="P3" s="3"/>
    </row>
    <row r="4" spans="2:16" x14ac:dyDescent="0.3">
      <c r="B4" s="3"/>
      <c r="C4" s="3"/>
      <c r="D4" s="3"/>
      <c r="E4" s="3"/>
      <c r="F4" s="3"/>
      <c r="G4" s="3"/>
      <c r="H4" s="3"/>
      <c r="I4" s="3"/>
      <c r="J4" s="3"/>
      <c r="K4" s="3"/>
      <c r="L4" s="3"/>
      <c r="M4" s="3"/>
      <c r="N4" s="3"/>
      <c r="O4" s="3"/>
      <c r="P4" s="3"/>
    </row>
    <row r="5" spans="2:16" x14ac:dyDescent="0.3">
      <c r="B5" s="3"/>
      <c r="C5" s="3"/>
      <c r="D5" s="3"/>
      <c r="E5" s="3"/>
      <c r="F5" s="3"/>
      <c r="G5" s="3"/>
      <c r="H5" s="3"/>
      <c r="I5" s="3"/>
      <c r="J5" s="3"/>
      <c r="K5" s="3"/>
      <c r="L5" s="3"/>
      <c r="M5" s="3"/>
      <c r="N5" s="3"/>
      <c r="O5" s="3"/>
      <c r="P5" s="3"/>
    </row>
    <row r="6" spans="2:16" x14ac:dyDescent="0.3">
      <c r="B6" s="3"/>
      <c r="C6" s="3"/>
      <c r="D6" s="3"/>
      <c r="E6" s="3"/>
      <c r="F6" s="3"/>
      <c r="G6" s="3"/>
      <c r="H6" s="3"/>
      <c r="I6" s="3"/>
      <c r="J6" s="3"/>
      <c r="K6" s="3"/>
      <c r="L6" s="3"/>
      <c r="M6" s="3"/>
      <c r="N6" s="3"/>
      <c r="O6" s="3"/>
      <c r="P6" s="3"/>
    </row>
    <row r="7" spans="2:16" x14ac:dyDescent="0.3">
      <c r="B7" s="3"/>
      <c r="C7" s="3"/>
      <c r="D7" s="3"/>
      <c r="E7" s="3"/>
      <c r="F7" s="3"/>
      <c r="G7" s="3"/>
      <c r="H7" s="3"/>
      <c r="I7" s="3"/>
      <c r="J7" s="3"/>
      <c r="K7" s="3"/>
      <c r="L7" s="3"/>
      <c r="M7" s="3"/>
      <c r="N7" s="3"/>
      <c r="O7" s="3"/>
      <c r="P7" s="3"/>
    </row>
    <row r="8" spans="2:16" x14ac:dyDescent="0.3">
      <c r="B8" s="3"/>
      <c r="C8" s="3"/>
      <c r="D8" s="3"/>
      <c r="E8" s="3"/>
      <c r="F8" s="3"/>
      <c r="G8" s="3"/>
      <c r="H8" s="3"/>
      <c r="I8" s="3"/>
      <c r="J8" s="3"/>
      <c r="K8" s="3"/>
      <c r="L8" s="3"/>
      <c r="M8" s="3"/>
      <c r="N8" s="3"/>
      <c r="O8" s="3"/>
      <c r="P8" s="3"/>
    </row>
    <row r="9" spans="2:16" x14ac:dyDescent="0.3">
      <c r="B9" s="3"/>
      <c r="C9" s="3"/>
      <c r="D9" s="3"/>
      <c r="E9" s="3"/>
      <c r="F9" s="3"/>
      <c r="G9" s="3"/>
      <c r="H9" s="3"/>
      <c r="I9" s="3"/>
      <c r="J9" s="3"/>
      <c r="K9" s="3"/>
      <c r="L9" s="3"/>
      <c r="M9" s="3"/>
      <c r="N9" s="3"/>
      <c r="O9" s="3"/>
      <c r="P9" s="3"/>
    </row>
    <row r="10" spans="2:16" x14ac:dyDescent="0.3">
      <c r="B10" s="3"/>
      <c r="C10" s="3"/>
      <c r="D10" s="3"/>
      <c r="E10" s="3"/>
      <c r="F10" s="3"/>
      <c r="G10" s="3"/>
      <c r="H10" s="3"/>
      <c r="I10" s="3"/>
      <c r="J10" s="3"/>
      <c r="K10" s="3"/>
      <c r="L10" s="3"/>
      <c r="M10" s="3"/>
      <c r="N10" s="3"/>
      <c r="O10" s="3"/>
      <c r="P10" s="3"/>
    </row>
    <row r="11" spans="2:16" x14ac:dyDescent="0.3">
      <c r="B11" s="3"/>
      <c r="C11" s="3"/>
      <c r="D11" s="3"/>
      <c r="E11" s="3"/>
      <c r="F11" s="3"/>
      <c r="G11" s="3"/>
      <c r="H11" s="3"/>
      <c r="I11" s="3"/>
      <c r="J11" s="3"/>
      <c r="K11" s="3"/>
      <c r="L11" s="3"/>
      <c r="M11" s="3"/>
      <c r="N11" s="3"/>
      <c r="O11" s="3"/>
      <c r="P11" s="3"/>
    </row>
    <row r="12" spans="2:16" x14ac:dyDescent="0.3">
      <c r="B12" s="3"/>
      <c r="C12" s="3"/>
      <c r="D12" s="3"/>
      <c r="E12" s="3"/>
      <c r="F12" s="3"/>
      <c r="G12" s="3"/>
      <c r="H12" s="3"/>
      <c r="I12" s="3"/>
      <c r="J12" s="3"/>
      <c r="K12" s="3"/>
      <c r="L12" s="3"/>
      <c r="M12" s="3"/>
      <c r="N12" s="3"/>
      <c r="O12" s="3"/>
      <c r="P12" s="3"/>
    </row>
    <row r="13" spans="2:16" x14ac:dyDescent="0.3">
      <c r="B13" s="3"/>
      <c r="C13" s="3"/>
      <c r="D13" s="3"/>
      <c r="E13" s="3"/>
      <c r="F13" s="3"/>
      <c r="G13" s="3"/>
      <c r="H13" s="3"/>
      <c r="I13" s="3"/>
      <c r="J13" s="3"/>
      <c r="K13" s="3"/>
      <c r="L13" s="3"/>
      <c r="M13" s="3"/>
      <c r="N13" s="3"/>
      <c r="O13" s="3"/>
      <c r="P13" s="3"/>
    </row>
    <row r="14" spans="2:16" x14ac:dyDescent="0.3">
      <c r="B14" s="3"/>
      <c r="C14" s="3"/>
      <c r="D14" s="3"/>
      <c r="E14" s="3"/>
      <c r="F14" s="3"/>
      <c r="G14" s="3"/>
      <c r="H14" s="3"/>
      <c r="I14" s="3"/>
      <c r="J14" s="3"/>
      <c r="K14" s="3"/>
      <c r="L14" s="3"/>
      <c r="M14" s="3"/>
      <c r="N14" s="3"/>
      <c r="O14" s="3"/>
      <c r="P14" s="3"/>
    </row>
    <row r="15" spans="2:16" x14ac:dyDescent="0.3">
      <c r="B15" s="3"/>
      <c r="C15" s="3"/>
      <c r="D15" s="3"/>
      <c r="E15" s="3"/>
      <c r="F15" s="3"/>
      <c r="G15" s="3"/>
      <c r="H15" s="3"/>
      <c r="I15" s="3"/>
      <c r="J15" s="3"/>
      <c r="K15" s="3"/>
      <c r="L15" s="3"/>
      <c r="M15" s="3"/>
      <c r="N15" s="3"/>
      <c r="O15" s="3"/>
      <c r="P15" s="3"/>
    </row>
    <row r="16" spans="2:16" x14ac:dyDescent="0.3">
      <c r="B16" s="3"/>
      <c r="C16" s="3"/>
      <c r="D16" s="3"/>
      <c r="E16" s="3"/>
      <c r="F16" s="3"/>
      <c r="G16" s="3"/>
      <c r="H16" s="3"/>
      <c r="I16" s="3"/>
      <c r="J16" s="3"/>
      <c r="K16" s="3"/>
      <c r="L16" s="3"/>
      <c r="M16" s="3"/>
      <c r="N16" s="3"/>
      <c r="O16" s="3"/>
      <c r="P16" s="3"/>
    </row>
    <row r="17" spans="2:16" x14ac:dyDescent="0.3">
      <c r="B17" s="3"/>
      <c r="C17" s="3"/>
      <c r="D17" s="3"/>
      <c r="E17" s="3"/>
      <c r="F17" s="3"/>
      <c r="G17" s="3"/>
      <c r="H17" s="3"/>
      <c r="I17" s="3"/>
      <c r="J17" s="3"/>
      <c r="K17" s="3"/>
      <c r="L17" s="3"/>
      <c r="M17" s="3"/>
      <c r="N17" s="3"/>
      <c r="O17" s="3"/>
      <c r="P17" s="3"/>
    </row>
    <row r="18" spans="2:16" x14ac:dyDescent="0.3">
      <c r="B18" s="3"/>
      <c r="C18" s="3"/>
      <c r="D18" s="3"/>
      <c r="E18" s="3"/>
      <c r="F18" s="3"/>
      <c r="G18" s="3"/>
      <c r="H18" s="3"/>
      <c r="I18" s="3"/>
      <c r="J18" s="3"/>
      <c r="K18" s="3"/>
      <c r="L18" s="3"/>
      <c r="M18" s="3"/>
      <c r="N18" s="3"/>
      <c r="O18" s="3"/>
      <c r="P18" s="3"/>
    </row>
    <row r="19" spans="2:16" x14ac:dyDescent="0.3">
      <c r="B19" s="3"/>
      <c r="C19" s="3"/>
      <c r="D19" s="3"/>
      <c r="E19" s="3"/>
      <c r="F19" s="3"/>
      <c r="G19" s="3"/>
      <c r="H19" s="3"/>
      <c r="I19" s="3"/>
      <c r="J19" s="3"/>
      <c r="K19" s="3"/>
      <c r="L19" s="3"/>
      <c r="M19" s="3"/>
      <c r="N19" s="3"/>
      <c r="O19" s="3"/>
      <c r="P19" s="3"/>
    </row>
    <row r="20" spans="2:16" x14ac:dyDescent="0.3">
      <c r="B20" s="3"/>
      <c r="C20" s="3"/>
      <c r="D20" s="3"/>
      <c r="E20" s="3"/>
      <c r="F20" s="3"/>
      <c r="G20" s="3"/>
      <c r="H20" s="3"/>
      <c r="I20" s="3"/>
      <c r="J20" s="3"/>
      <c r="K20" s="3"/>
      <c r="L20" s="3"/>
      <c r="M20" s="3"/>
      <c r="N20" s="3"/>
      <c r="O20" s="3"/>
      <c r="P20" s="3"/>
    </row>
    <row r="21" spans="2:16" x14ac:dyDescent="0.3">
      <c r="B21" s="3"/>
      <c r="C21" s="3"/>
      <c r="D21" s="3"/>
      <c r="E21" s="3"/>
      <c r="F21" s="3"/>
      <c r="G21" s="3"/>
      <c r="H21" s="3"/>
      <c r="I21" s="3"/>
      <c r="J21" s="3"/>
      <c r="K21" s="3"/>
      <c r="L21" s="3"/>
      <c r="M21" s="3"/>
      <c r="N21" s="3"/>
      <c r="O21" s="3"/>
      <c r="P21" s="3"/>
    </row>
    <row r="22" spans="2:16" x14ac:dyDescent="0.3">
      <c r="B22" s="3"/>
      <c r="C22" s="3"/>
      <c r="D22" s="3"/>
      <c r="E22" s="3"/>
      <c r="F22" s="3"/>
      <c r="G22" s="3"/>
      <c r="H22" s="3"/>
      <c r="I22" s="3"/>
      <c r="J22" s="3"/>
      <c r="K22" s="3"/>
      <c r="L22" s="3"/>
      <c r="M22" s="3"/>
      <c r="N22" s="3"/>
      <c r="O22" s="3"/>
      <c r="P22" s="3"/>
    </row>
    <row r="23" spans="2:16" x14ac:dyDescent="0.3">
      <c r="B23" s="3"/>
      <c r="C23" s="3"/>
      <c r="D23" s="3"/>
      <c r="E23" s="3"/>
      <c r="F23" s="3"/>
      <c r="G23" s="3"/>
      <c r="H23" s="3"/>
      <c r="I23" s="3"/>
      <c r="J23" s="3"/>
      <c r="K23" s="3"/>
      <c r="L23" s="3"/>
      <c r="M23" s="3"/>
      <c r="N23" s="3"/>
      <c r="O23" s="3"/>
      <c r="P23" s="3"/>
    </row>
    <row r="24" spans="2:16" x14ac:dyDescent="0.3">
      <c r="B24" s="3"/>
      <c r="C24" s="3"/>
      <c r="D24" s="3"/>
      <c r="E24" s="3"/>
      <c r="F24" s="3"/>
      <c r="G24" s="3"/>
      <c r="H24" s="3"/>
      <c r="I24" s="3"/>
      <c r="J24" s="3"/>
      <c r="K24" s="3"/>
      <c r="L24" s="3"/>
      <c r="M24" s="3"/>
      <c r="N24" s="3"/>
      <c r="O24" s="3"/>
      <c r="P24" s="3"/>
    </row>
    <row r="25" spans="2:16" x14ac:dyDescent="0.3">
      <c r="B25" s="3"/>
      <c r="C25" s="3"/>
      <c r="D25" s="3"/>
      <c r="E25" s="3"/>
      <c r="F25" s="3"/>
      <c r="G25" s="3"/>
      <c r="H25" s="3"/>
      <c r="I25" s="3"/>
      <c r="J25" s="3"/>
      <c r="K25" s="3"/>
      <c r="L25" s="3"/>
      <c r="M25" s="3"/>
      <c r="N25" s="3"/>
      <c r="O25" s="3"/>
      <c r="P25" s="3"/>
    </row>
    <row r="26" spans="2:16" x14ac:dyDescent="0.3">
      <c r="B26" s="3"/>
      <c r="C26" s="3"/>
      <c r="D26" s="3"/>
      <c r="E26" s="3"/>
      <c r="F26" s="3"/>
      <c r="G26" s="3"/>
      <c r="H26" s="3"/>
      <c r="I26" s="3"/>
      <c r="J26" s="3"/>
      <c r="K26" s="3"/>
      <c r="L26" s="3"/>
      <c r="M26" s="3"/>
      <c r="N26" s="3"/>
      <c r="O26" s="3"/>
      <c r="P26" s="3"/>
    </row>
    <row r="27" spans="2:16" x14ac:dyDescent="0.3">
      <c r="B27" s="3"/>
      <c r="C27" s="3"/>
      <c r="D27" s="3"/>
      <c r="E27" s="3"/>
      <c r="F27" s="3"/>
      <c r="G27" s="3"/>
      <c r="H27" s="3"/>
      <c r="I27" s="3"/>
      <c r="J27" s="3"/>
      <c r="K27" s="3"/>
      <c r="L27" s="3"/>
      <c r="M27" s="3"/>
      <c r="N27" s="3"/>
      <c r="O27" s="3"/>
      <c r="P27" s="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569D6-B602-4FD9-A523-092F6B760B21}">
  <dimension ref="B2:P27"/>
  <sheetViews>
    <sheetView workbookViewId="0"/>
  </sheetViews>
  <sheetFormatPr defaultRowHeight="14.4" x14ac:dyDescent="0.3"/>
  <sheetData>
    <row r="2" spans="2:16" x14ac:dyDescent="0.3">
      <c r="B2" s="3"/>
      <c r="C2" s="3"/>
      <c r="D2" s="3"/>
      <c r="E2" s="3"/>
      <c r="F2" s="3"/>
      <c r="G2" s="3"/>
      <c r="H2" s="3"/>
      <c r="I2" s="3"/>
      <c r="J2" s="3"/>
      <c r="K2" s="3"/>
      <c r="L2" s="3"/>
      <c r="M2" s="3"/>
      <c r="N2" s="3"/>
      <c r="O2" s="3"/>
      <c r="P2" s="3"/>
    </row>
    <row r="3" spans="2:16" x14ac:dyDescent="0.3">
      <c r="B3" s="3"/>
      <c r="C3" s="3"/>
      <c r="D3" s="3"/>
      <c r="E3" s="3"/>
      <c r="F3" s="3"/>
      <c r="G3" s="3"/>
      <c r="H3" s="3"/>
      <c r="I3" s="3"/>
      <c r="J3" s="3"/>
      <c r="K3" s="3"/>
      <c r="L3" s="3"/>
      <c r="M3" s="3"/>
      <c r="N3" s="3"/>
      <c r="O3" s="3"/>
      <c r="P3" s="3"/>
    </row>
    <row r="4" spans="2:16" x14ac:dyDescent="0.3">
      <c r="B4" s="3"/>
      <c r="C4" s="3"/>
      <c r="D4" s="3"/>
      <c r="E4" s="3"/>
      <c r="F4" s="3"/>
      <c r="G4" s="3"/>
      <c r="H4" s="3"/>
      <c r="I4" s="3"/>
      <c r="J4" s="3"/>
      <c r="K4" s="3"/>
      <c r="L4" s="3"/>
      <c r="M4" s="3"/>
      <c r="N4" s="3"/>
      <c r="O4" s="3"/>
      <c r="P4" s="3"/>
    </row>
    <row r="5" spans="2:16" x14ac:dyDescent="0.3">
      <c r="B5" s="3"/>
      <c r="C5" s="3"/>
      <c r="D5" s="3"/>
      <c r="E5" s="3"/>
      <c r="F5" s="3"/>
      <c r="G5" s="3"/>
      <c r="H5" s="3"/>
      <c r="I5" s="3"/>
      <c r="J5" s="3"/>
      <c r="K5" s="3"/>
      <c r="L5" s="3"/>
      <c r="M5" s="3"/>
      <c r="N5" s="3"/>
      <c r="O5" s="3"/>
      <c r="P5" s="3"/>
    </row>
    <row r="6" spans="2:16" x14ac:dyDescent="0.3">
      <c r="B6" s="3"/>
      <c r="C6" s="3"/>
      <c r="D6" s="3"/>
      <c r="E6" s="3"/>
      <c r="F6" s="3"/>
      <c r="G6" s="3"/>
      <c r="H6" s="3"/>
      <c r="I6" s="3"/>
      <c r="J6" s="3"/>
      <c r="K6" s="3"/>
      <c r="L6" s="3"/>
      <c r="M6" s="3"/>
      <c r="N6" s="3"/>
      <c r="O6" s="3"/>
      <c r="P6" s="3"/>
    </row>
    <row r="7" spans="2:16" x14ac:dyDescent="0.3">
      <c r="B7" s="3"/>
      <c r="C7" s="3"/>
      <c r="D7" s="3"/>
      <c r="E7" s="3"/>
      <c r="F7" s="3"/>
      <c r="G7" s="3"/>
      <c r="H7" s="3"/>
      <c r="I7" s="3"/>
      <c r="J7" s="3"/>
      <c r="K7" s="3"/>
      <c r="L7" s="3"/>
      <c r="M7" s="3"/>
      <c r="N7" s="3"/>
      <c r="O7" s="3"/>
      <c r="P7" s="3"/>
    </row>
    <row r="8" spans="2:16" x14ac:dyDescent="0.3">
      <c r="B8" s="3"/>
      <c r="C8" s="3"/>
      <c r="D8" s="3"/>
      <c r="E8" s="3"/>
      <c r="F8" s="3"/>
      <c r="G8" s="3"/>
      <c r="H8" s="3"/>
      <c r="I8" s="3"/>
      <c r="J8" s="3"/>
      <c r="K8" s="3"/>
      <c r="L8" s="3"/>
      <c r="M8" s="3"/>
      <c r="N8" s="3"/>
      <c r="O8" s="3"/>
      <c r="P8" s="3"/>
    </row>
    <row r="9" spans="2:16" x14ac:dyDescent="0.3">
      <c r="B9" s="3"/>
      <c r="C9" s="3"/>
      <c r="D9" s="3"/>
      <c r="E9" s="3"/>
      <c r="F9" s="3"/>
      <c r="G9" s="3"/>
      <c r="H9" s="3"/>
      <c r="I9" s="3"/>
      <c r="J9" s="3"/>
      <c r="K9" s="3"/>
      <c r="L9" s="3"/>
      <c r="M9" s="3"/>
      <c r="N9" s="3"/>
      <c r="O9" s="3"/>
      <c r="P9" s="3"/>
    </row>
    <row r="10" spans="2:16" x14ac:dyDescent="0.3">
      <c r="B10" s="3"/>
      <c r="C10" s="3"/>
      <c r="D10" s="3"/>
      <c r="E10" s="3"/>
      <c r="F10" s="3"/>
      <c r="G10" s="3"/>
      <c r="H10" s="3"/>
      <c r="I10" s="3"/>
      <c r="J10" s="3"/>
      <c r="K10" s="3"/>
      <c r="L10" s="3"/>
      <c r="M10" s="3"/>
      <c r="N10" s="3"/>
      <c r="O10" s="3"/>
      <c r="P10" s="3"/>
    </row>
    <row r="11" spans="2:16" x14ac:dyDescent="0.3">
      <c r="B11" s="3"/>
      <c r="C11" s="3"/>
      <c r="D11" s="3"/>
      <c r="E11" s="3"/>
      <c r="F11" s="3"/>
      <c r="G11" s="3"/>
      <c r="H11" s="3"/>
      <c r="I11" s="3"/>
      <c r="J11" s="3"/>
      <c r="K11" s="3"/>
      <c r="L11" s="3"/>
      <c r="M11" s="3"/>
      <c r="N11" s="3"/>
      <c r="O11" s="3"/>
      <c r="P11" s="3"/>
    </row>
    <row r="12" spans="2:16" x14ac:dyDescent="0.3">
      <c r="B12" s="3"/>
      <c r="C12" s="3"/>
      <c r="D12" s="3"/>
      <c r="E12" s="3"/>
      <c r="F12" s="3"/>
      <c r="G12" s="3"/>
      <c r="H12" s="3"/>
      <c r="I12" s="3"/>
      <c r="J12" s="3"/>
      <c r="K12" s="3"/>
      <c r="L12" s="3"/>
      <c r="M12" s="3"/>
      <c r="N12" s="3"/>
      <c r="O12" s="3"/>
      <c r="P12" s="3"/>
    </row>
    <row r="13" spans="2:16" x14ac:dyDescent="0.3">
      <c r="B13" s="3"/>
      <c r="C13" s="3"/>
      <c r="D13" s="3"/>
      <c r="E13" s="3"/>
      <c r="F13" s="3"/>
      <c r="G13" s="3"/>
      <c r="H13" s="3"/>
      <c r="I13" s="3"/>
      <c r="J13" s="3"/>
      <c r="K13" s="3"/>
      <c r="L13" s="3"/>
      <c r="M13" s="3"/>
      <c r="N13" s="3"/>
      <c r="O13" s="3"/>
      <c r="P13" s="3"/>
    </row>
    <row r="14" spans="2:16" x14ac:dyDescent="0.3">
      <c r="B14" s="3"/>
      <c r="C14" s="3"/>
      <c r="D14" s="3"/>
      <c r="E14" s="3"/>
      <c r="F14" s="3"/>
      <c r="G14" s="3"/>
      <c r="H14" s="3"/>
      <c r="I14" s="3"/>
      <c r="J14" s="3"/>
      <c r="K14" s="3"/>
      <c r="L14" s="3"/>
      <c r="M14" s="3"/>
      <c r="N14" s="3"/>
      <c r="O14" s="3"/>
      <c r="P14" s="3"/>
    </row>
    <row r="15" spans="2:16" x14ac:dyDescent="0.3">
      <c r="B15" s="3"/>
      <c r="C15" s="3"/>
      <c r="D15" s="3"/>
      <c r="E15" s="3"/>
      <c r="F15" s="3"/>
      <c r="G15" s="3"/>
      <c r="H15" s="3"/>
      <c r="I15" s="3"/>
      <c r="J15" s="3"/>
      <c r="K15" s="3"/>
      <c r="L15" s="3"/>
      <c r="M15" s="3"/>
      <c r="N15" s="3"/>
      <c r="O15" s="3"/>
      <c r="P15" s="3"/>
    </row>
    <row r="16" spans="2:16" x14ac:dyDescent="0.3">
      <c r="B16" s="3"/>
      <c r="C16" s="3"/>
      <c r="D16" s="3"/>
      <c r="E16" s="3"/>
      <c r="F16" s="3"/>
      <c r="G16" s="3"/>
      <c r="H16" s="3"/>
      <c r="I16" s="3"/>
      <c r="J16" s="3"/>
      <c r="K16" s="3"/>
      <c r="L16" s="3"/>
      <c r="M16" s="3"/>
      <c r="N16" s="3"/>
      <c r="O16" s="3"/>
      <c r="P16" s="3"/>
    </row>
    <row r="17" spans="2:16" x14ac:dyDescent="0.3">
      <c r="B17" s="3"/>
      <c r="C17" s="3"/>
      <c r="D17" s="3"/>
      <c r="E17" s="3"/>
      <c r="F17" s="3"/>
      <c r="G17" s="3"/>
      <c r="H17" s="3"/>
      <c r="I17" s="3"/>
      <c r="J17" s="3"/>
      <c r="K17" s="3"/>
      <c r="L17" s="3"/>
      <c r="M17" s="3"/>
      <c r="N17" s="3"/>
      <c r="O17" s="3"/>
      <c r="P17" s="3"/>
    </row>
    <row r="18" spans="2:16" x14ac:dyDescent="0.3">
      <c r="B18" s="3"/>
      <c r="C18" s="3"/>
      <c r="D18" s="3"/>
      <c r="E18" s="3"/>
      <c r="F18" s="3"/>
      <c r="G18" s="3"/>
      <c r="H18" s="3"/>
      <c r="I18" s="3"/>
      <c r="J18" s="3"/>
      <c r="K18" s="3"/>
      <c r="L18" s="3"/>
      <c r="M18" s="3"/>
      <c r="N18" s="3"/>
      <c r="O18" s="3"/>
      <c r="P18" s="3"/>
    </row>
    <row r="19" spans="2:16" x14ac:dyDescent="0.3">
      <c r="B19" s="3"/>
      <c r="C19" s="3"/>
      <c r="D19" s="3"/>
      <c r="E19" s="3"/>
      <c r="F19" s="3"/>
      <c r="G19" s="3"/>
      <c r="H19" s="3"/>
      <c r="I19" s="3"/>
      <c r="J19" s="3"/>
      <c r="K19" s="3"/>
      <c r="L19" s="3"/>
      <c r="M19" s="3"/>
      <c r="N19" s="3"/>
      <c r="O19" s="3"/>
      <c r="P19" s="3"/>
    </row>
    <row r="20" spans="2:16" x14ac:dyDescent="0.3">
      <c r="B20" s="3"/>
      <c r="C20" s="3"/>
      <c r="D20" s="3"/>
      <c r="E20" s="3"/>
      <c r="F20" s="3"/>
      <c r="G20" s="3"/>
      <c r="H20" s="3"/>
      <c r="I20" s="3"/>
      <c r="J20" s="3"/>
      <c r="K20" s="3"/>
      <c r="L20" s="3"/>
      <c r="M20" s="3"/>
      <c r="N20" s="3"/>
      <c r="O20" s="3"/>
      <c r="P20" s="3"/>
    </row>
    <row r="21" spans="2:16" x14ac:dyDescent="0.3">
      <c r="B21" s="3"/>
      <c r="C21" s="3"/>
      <c r="D21" s="3"/>
      <c r="E21" s="3"/>
      <c r="F21" s="3"/>
      <c r="G21" s="3"/>
      <c r="H21" s="3"/>
      <c r="I21" s="3"/>
      <c r="J21" s="3"/>
      <c r="K21" s="3"/>
      <c r="L21" s="3"/>
      <c r="M21" s="3"/>
      <c r="N21" s="3"/>
      <c r="O21" s="3"/>
      <c r="P21" s="3"/>
    </row>
    <row r="22" spans="2:16" x14ac:dyDescent="0.3">
      <c r="B22" s="3"/>
      <c r="C22" s="3"/>
      <c r="D22" s="3"/>
      <c r="E22" s="3"/>
      <c r="F22" s="3"/>
      <c r="G22" s="3"/>
      <c r="H22" s="3"/>
      <c r="I22" s="3"/>
      <c r="J22" s="3"/>
      <c r="K22" s="3"/>
      <c r="L22" s="3"/>
      <c r="M22" s="3"/>
      <c r="N22" s="3"/>
      <c r="O22" s="3"/>
      <c r="P22" s="3"/>
    </row>
    <row r="23" spans="2:16" x14ac:dyDescent="0.3">
      <c r="B23" s="3"/>
      <c r="C23" s="3"/>
      <c r="D23" s="3"/>
      <c r="E23" s="3"/>
      <c r="F23" s="3"/>
      <c r="G23" s="3"/>
      <c r="H23" s="3"/>
      <c r="I23" s="3"/>
      <c r="J23" s="3"/>
      <c r="K23" s="3"/>
      <c r="L23" s="3"/>
      <c r="M23" s="3"/>
      <c r="N23" s="3"/>
      <c r="O23" s="3"/>
      <c r="P23" s="3"/>
    </row>
    <row r="24" spans="2:16" x14ac:dyDescent="0.3">
      <c r="B24" s="3"/>
      <c r="C24" s="3"/>
      <c r="D24" s="3"/>
      <c r="E24" s="3"/>
      <c r="F24" s="3"/>
      <c r="G24" s="3"/>
      <c r="H24" s="3"/>
      <c r="I24" s="3"/>
      <c r="J24" s="3"/>
      <c r="K24" s="3"/>
      <c r="L24" s="3"/>
      <c r="M24" s="3"/>
      <c r="N24" s="3"/>
      <c r="O24" s="3"/>
      <c r="P24" s="3"/>
    </row>
    <row r="25" spans="2:16" x14ac:dyDescent="0.3">
      <c r="B25" s="3"/>
      <c r="C25" s="3"/>
      <c r="D25" s="3"/>
      <c r="E25" s="3"/>
      <c r="F25" s="3"/>
      <c r="G25" s="3"/>
      <c r="H25" s="3"/>
      <c r="I25" s="3"/>
      <c r="J25" s="3"/>
      <c r="K25" s="3"/>
      <c r="L25" s="3"/>
      <c r="M25" s="3"/>
      <c r="N25" s="3"/>
      <c r="O25" s="3"/>
      <c r="P25" s="3"/>
    </row>
    <row r="26" spans="2:16" x14ac:dyDescent="0.3">
      <c r="B26" s="3"/>
      <c r="C26" s="3"/>
      <c r="D26" s="3"/>
      <c r="E26" s="3"/>
      <c r="F26" s="3"/>
      <c r="G26" s="3"/>
      <c r="H26" s="3"/>
      <c r="I26" s="3"/>
      <c r="J26" s="3"/>
      <c r="K26" s="3"/>
      <c r="L26" s="3"/>
      <c r="M26" s="3"/>
      <c r="N26" s="3"/>
      <c r="O26" s="3"/>
      <c r="P26" s="3"/>
    </row>
    <row r="27" spans="2:16" x14ac:dyDescent="0.3">
      <c r="B27" s="3"/>
      <c r="C27" s="3"/>
      <c r="D27" s="3"/>
      <c r="E27" s="3"/>
      <c r="F27" s="3"/>
      <c r="G27" s="3"/>
      <c r="H27" s="3"/>
      <c r="I27" s="3"/>
      <c r="J27" s="3"/>
      <c r="K27" s="3"/>
      <c r="L27" s="3"/>
      <c r="M27" s="3"/>
      <c r="N27" s="3"/>
      <c r="O27" s="3"/>
      <c r="P27" s="3"/>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E26A3-8FA4-4932-93A3-54BB96B44F58}">
  <dimension ref="B2:P27"/>
  <sheetViews>
    <sheetView workbookViewId="0"/>
  </sheetViews>
  <sheetFormatPr defaultRowHeight="14.4" x14ac:dyDescent="0.3"/>
  <sheetData>
    <row r="2" spans="2:16" x14ac:dyDescent="0.3">
      <c r="B2" s="3"/>
      <c r="C2" s="3"/>
      <c r="D2" s="3"/>
      <c r="E2" s="3"/>
      <c r="F2" s="3"/>
      <c r="G2" s="3"/>
      <c r="H2" s="3"/>
      <c r="I2" s="3"/>
      <c r="J2" s="3"/>
      <c r="K2" s="3"/>
      <c r="L2" s="3"/>
      <c r="M2" s="3"/>
      <c r="N2" s="3"/>
      <c r="O2" s="3"/>
      <c r="P2" s="3"/>
    </row>
    <row r="3" spans="2:16" x14ac:dyDescent="0.3">
      <c r="B3" s="3"/>
      <c r="C3" s="3"/>
      <c r="D3" s="3"/>
      <c r="E3" s="3"/>
      <c r="F3" s="3"/>
      <c r="G3" s="3"/>
      <c r="H3" s="3"/>
      <c r="I3" s="3"/>
      <c r="J3" s="3"/>
      <c r="K3" s="3"/>
      <c r="L3" s="3"/>
      <c r="M3" s="3"/>
      <c r="N3" s="3"/>
      <c r="O3" s="3"/>
      <c r="P3" s="3"/>
    </row>
    <row r="4" spans="2:16" x14ac:dyDescent="0.3">
      <c r="B4" s="3"/>
      <c r="C4" s="3"/>
      <c r="D4" s="3"/>
      <c r="E4" s="3"/>
      <c r="F4" s="3"/>
      <c r="G4" s="3"/>
      <c r="H4" s="3"/>
      <c r="I4" s="3"/>
      <c r="J4" s="3"/>
      <c r="K4" s="3"/>
      <c r="L4" s="3"/>
      <c r="M4" s="3"/>
      <c r="N4" s="3"/>
      <c r="O4" s="3"/>
      <c r="P4" s="3"/>
    </row>
    <row r="5" spans="2:16" x14ac:dyDescent="0.3">
      <c r="B5" s="3"/>
      <c r="C5" s="3"/>
      <c r="D5" s="3"/>
      <c r="E5" s="3"/>
      <c r="F5" s="3"/>
      <c r="G5" s="3"/>
      <c r="H5" s="3"/>
      <c r="I5" s="3"/>
      <c r="J5" s="3"/>
      <c r="K5" s="3"/>
      <c r="L5" s="3"/>
      <c r="M5" s="3"/>
      <c r="N5" s="3"/>
      <c r="O5" s="3"/>
      <c r="P5" s="3"/>
    </row>
    <row r="6" spans="2:16" x14ac:dyDescent="0.3">
      <c r="B6" s="3"/>
      <c r="C6" s="3"/>
      <c r="D6" s="3"/>
      <c r="E6" s="3"/>
      <c r="F6" s="3"/>
      <c r="G6" s="3"/>
      <c r="H6" s="3"/>
      <c r="I6" s="3"/>
      <c r="J6" s="3"/>
      <c r="K6" s="3"/>
      <c r="L6" s="3"/>
      <c r="M6" s="3"/>
      <c r="N6" s="3"/>
      <c r="O6" s="3"/>
      <c r="P6" s="3"/>
    </row>
    <row r="7" spans="2:16" x14ac:dyDescent="0.3">
      <c r="B7" s="3"/>
      <c r="C7" s="3"/>
      <c r="D7" s="3"/>
      <c r="E7" s="3"/>
      <c r="F7" s="3"/>
      <c r="G7" s="3"/>
      <c r="H7" s="3"/>
      <c r="I7" s="3"/>
      <c r="J7" s="3"/>
      <c r="K7" s="3"/>
      <c r="L7" s="3"/>
      <c r="M7" s="3"/>
      <c r="N7" s="3"/>
      <c r="O7" s="3"/>
      <c r="P7" s="3"/>
    </row>
    <row r="8" spans="2:16" x14ac:dyDescent="0.3">
      <c r="B8" s="3"/>
      <c r="C8" s="3"/>
      <c r="D8" s="3"/>
      <c r="E8" s="3"/>
      <c r="F8" s="3"/>
      <c r="G8" s="3"/>
      <c r="H8" s="3"/>
      <c r="I8" s="3"/>
      <c r="J8" s="3"/>
      <c r="K8" s="3"/>
      <c r="L8" s="3"/>
      <c r="M8" s="3"/>
      <c r="N8" s="3"/>
      <c r="O8" s="3"/>
      <c r="P8" s="3"/>
    </row>
    <row r="9" spans="2:16" x14ac:dyDescent="0.3">
      <c r="B9" s="3"/>
      <c r="C9" s="3"/>
      <c r="D9" s="3"/>
      <c r="E9" s="3"/>
      <c r="F9" s="3"/>
      <c r="G9" s="3"/>
      <c r="H9" s="3"/>
      <c r="I9" s="3"/>
      <c r="J9" s="3"/>
      <c r="K9" s="3"/>
      <c r="L9" s="3"/>
      <c r="M9" s="3"/>
      <c r="N9" s="3"/>
      <c r="O9" s="3"/>
      <c r="P9" s="3"/>
    </row>
    <row r="10" spans="2:16" x14ac:dyDescent="0.3">
      <c r="B10" s="3"/>
      <c r="C10" s="3"/>
      <c r="D10" s="3"/>
      <c r="E10" s="3"/>
      <c r="F10" s="3"/>
      <c r="G10" s="3"/>
      <c r="H10" s="3"/>
      <c r="I10" s="3"/>
      <c r="J10" s="3"/>
      <c r="K10" s="3"/>
      <c r="L10" s="3"/>
      <c r="M10" s="3"/>
      <c r="N10" s="3"/>
      <c r="O10" s="3"/>
      <c r="P10" s="3"/>
    </row>
    <row r="11" spans="2:16" x14ac:dyDescent="0.3">
      <c r="B11" s="3"/>
      <c r="C11" s="3"/>
      <c r="D11" s="3"/>
      <c r="E11" s="3"/>
      <c r="F11" s="3"/>
      <c r="G11" s="3"/>
      <c r="H11" s="3"/>
      <c r="I11" s="3"/>
      <c r="J11" s="3"/>
      <c r="K11" s="3"/>
      <c r="L11" s="3"/>
      <c r="M11" s="3"/>
      <c r="N11" s="3"/>
      <c r="O11" s="3"/>
      <c r="P11" s="3"/>
    </row>
    <row r="12" spans="2:16" x14ac:dyDescent="0.3">
      <c r="B12" s="3"/>
      <c r="C12" s="3"/>
      <c r="D12" s="3"/>
      <c r="E12" s="3"/>
      <c r="F12" s="3"/>
      <c r="G12" s="3"/>
      <c r="H12" s="3"/>
      <c r="I12" s="3"/>
      <c r="J12" s="3"/>
      <c r="K12" s="3"/>
      <c r="L12" s="3"/>
      <c r="M12" s="3"/>
      <c r="N12" s="3"/>
      <c r="O12" s="3"/>
      <c r="P12" s="3"/>
    </row>
    <row r="13" spans="2:16" x14ac:dyDescent="0.3">
      <c r="B13" s="3"/>
      <c r="C13" s="3"/>
      <c r="D13" s="3"/>
      <c r="E13" s="3"/>
      <c r="F13" s="3"/>
      <c r="G13" s="3"/>
      <c r="H13" s="3"/>
      <c r="I13" s="3"/>
      <c r="J13" s="3"/>
      <c r="K13" s="3"/>
      <c r="L13" s="3"/>
      <c r="M13" s="3"/>
      <c r="N13" s="3"/>
      <c r="O13" s="3"/>
      <c r="P13" s="3"/>
    </row>
    <row r="14" spans="2:16" x14ac:dyDescent="0.3">
      <c r="B14" s="3"/>
      <c r="C14" s="3"/>
      <c r="D14" s="3"/>
      <c r="E14" s="3"/>
      <c r="F14" s="3"/>
      <c r="G14" s="3"/>
      <c r="H14" s="3"/>
      <c r="I14" s="3"/>
      <c r="J14" s="3"/>
      <c r="K14" s="3"/>
      <c r="L14" s="3"/>
      <c r="M14" s="3"/>
      <c r="N14" s="3"/>
      <c r="O14" s="3"/>
      <c r="P14" s="3"/>
    </row>
    <row r="15" spans="2:16" x14ac:dyDescent="0.3">
      <c r="B15" s="3"/>
      <c r="C15" s="3"/>
      <c r="D15" s="3"/>
      <c r="E15" s="3"/>
      <c r="F15" s="3"/>
      <c r="G15" s="3"/>
      <c r="H15" s="3"/>
      <c r="I15" s="3"/>
      <c r="J15" s="3"/>
      <c r="K15" s="3"/>
      <c r="L15" s="3"/>
      <c r="M15" s="3"/>
      <c r="N15" s="3"/>
      <c r="O15" s="3"/>
      <c r="P15" s="3"/>
    </row>
    <row r="16" spans="2:16" x14ac:dyDescent="0.3">
      <c r="B16" s="3"/>
      <c r="C16" s="3"/>
      <c r="D16" s="3"/>
      <c r="E16" s="3"/>
      <c r="F16" s="3"/>
      <c r="G16" s="3"/>
      <c r="H16" s="3"/>
      <c r="I16" s="3"/>
      <c r="J16" s="3"/>
      <c r="K16" s="3"/>
      <c r="L16" s="3"/>
      <c r="M16" s="3"/>
      <c r="N16" s="3"/>
      <c r="O16" s="3"/>
      <c r="P16" s="3"/>
    </row>
    <row r="17" spans="2:16" x14ac:dyDescent="0.3">
      <c r="B17" s="3"/>
      <c r="C17" s="3"/>
      <c r="D17" s="3"/>
      <c r="E17" s="3"/>
      <c r="F17" s="3"/>
      <c r="G17" s="3"/>
      <c r="H17" s="3"/>
      <c r="I17" s="3"/>
      <c r="J17" s="3"/>
      <c r="K17" s="3"/>
      <c r="L17" s="3"/>
      <c r="M17" s="3"/>
      <c r="N17" s="3"/>
      <c r="O17" s="3"/>
      <c r="P17" s="3"/>
    </row>
    <row r="18" spans="2:16" x14ac:dyDescent="0.3">
      <c r="B18" s="3"/>
      <c r="C18" s="3"/>
      <c r="D18" s="3"/>
      <c r="E18" s="3"/>
      <c r="F18" s="3"/>
      <c r="G18" s="3"/>
      <c r="H18" s="3"/>
      <c r="I18" s="3"/>
      <c r="J18" s="3"/>
      <c r="K18" s="3"/>
      <c r="L18" s="3"/>
      <c r="M18" s="3"/>
      <c r="N18" s="3"/>
      <c r="O18" s="3"/>
      <c r="P18" s="3"/>
    </row>
    <row r="19" spans="2:16" x14ac:dyDescent="0.3">
      <c r="B19" s="3"/>
      <c r="C19" s="3"/>
      <c r="D19" s="3"/>
      <c r="E19" s="3"/>
      <c r="F19" s="3"/>
      <c r="G19" s="3"/>
      <c r="H19" s="3"/>
      <c r="I19" s="3"/>
      <c r="J19" s="3"/>
      <c r="K19" s="3"/>
      <c r="L19" s="3"/>
      <c r="M19" s="3"/>
      <c r="N19" s="3"/>
      <c r="O19" s="3"/>
      <c r="P19" s="3"/>
    </row>
    <row r="20" spans="2:16" x14ac:dyDescent="0.3">
      <c r="B20" s="3"/>
      <c r="C20" s="3"/>
      <c r="D20" s="3"/>
      <c r="E20" s="3"/>
      <c r="F20" s="3"/>
      <c r="G20" s="3"/>
      <c r="H20" s="3"/>
      <c r="I20" s="3"/>
      <c r="J20" s="3"/>
      <c r="K20" s="3"/>
      <c r="L20" s="3"/>
      <c r="M20" s="3"/>
      <c r="N20" s="3"/>
      <c r="O20" s="3"/>
      <c r="P20" s="3"/>
    </row>
    <row r="21" spans="2:16" x14ac:dyDescent="0.3">
      <c r="B21" s="3"/>
      <c r="C21" s="3"/>
      <c r="D21" s="3"/>
      <c r="E21" s="3"/>
      <c r="F21" s="3"/>
      <c r="G21" s="3"/>
      <c r="H21" s="3"/>
      <c r="I21" s="3"/>
      <c r="J21" s="3"/>
      <c r="K21" s="3"/>
      <c r="L21" s="3"/>
      <c r="M21" s="3"/>
      <c r="N21" s="3"/>
      <c r="O21" s="3"/>
      <c r="P21" s="3"/>
    </row>
    <row r="22" spans="2:16" x14ac:dyDescent="0.3">
      <c r="B22" s="3"/>
      <c r="C22" s="3"/>
      <c r="D22" s="3"/>
      <c r="E22" s="3"/>
      <c r="F22" s="3"/>
      <c r="G22" s="3"/>
      <c r="H22" s="3"/>
      <c r="I22" s="3"/>
      <c r="J22" s="3"/>
      <c r="K22" s="3"/>
      <c r="L22" s="3"/>
      <c r="M22" s="3"/>
      <c r="N22" s="3"/>
      <c r="O22" s="3"/>
      <c r="P22" s="3"/>
    </row>
    <row r="23" spans="2:16" x14ac:dyDescent="0.3">
      <c r="B23" s="3"/>
      <c r="C23" s="3"/>
      <c r="D23" s="3"/>
      <c r="E23" s="3"/>
      <c r="F23" s="3"/>
      <c r="G23" s="3"/>
      <c r="H23" s="3"/>
      <c r="I23" s="3"/>
      <c r="J23" s="3"/>
      <c r="K23" s="3"/>
      <c r="L23" s="3"/>
      <c r="M23" s="3"/>
      <c r="N23" s="3"/>
      <c r="O23" s="3"/>
      <c r="P23" s="3"/>
    </row>
    <row r="24" spans="2:16" x14ac:dyDescent="0.3">
      <c r="B24" s="3"/>
      <c r="C24" s="3"/>
      <c r="D24" s="3"/>
      <c r="E24" s="3"/>
      <c r="F24" s="3"/>
      <c r="G24" s="3"/>
      <c r="H24" s="3"/>
      <c r="I24" s="3"/>
      <c r="J24" s="3"/>
      <c r="K24" s="3"/>
      <c r="L24" s="3"/>
      <c r="M24" s="3"/>
      <c r="N24" s="3"/>
      <c r="O24" s="3"/>
      <c r="P24" s="3"/>
    </row>
    <row r="25" spans="2:16" x14ac:dyDescent="0.3">
      <c r="B25" s="3"/>
      <c r="C25" s="3"/>
      <c r="D25" s="3"/>
      <c r="E25" s="3"/>
      <c r="F25" s="3"/>
      <c r="G25" s="3"/>
      <c r="H25" s="3"/>
      <c r="I25" s="3"/>
      <c r="J25" s="3"/>
      <c r="K25" s="3"/>
      <c r="L25" s="3"/>
      <c r="M25" s="3"/>
      <c r="N25" s="3"/>
      <c r="O25" s="3"/>
      <c r="P25" s="3"/>
    </row>
    <row r="26" spans="2:16" x14ac:dyDescent="0.3">
      <c r="B26" s="3"/>
      <c r="C26" s="3"/>
      <c r="D26" s="3"/>
      <c r="E26" s="3"/>
      <c r="F26" s="3"/>
      <c r="G26" s="3"/>
      <c r="H26" s="3"/>
      <c r="I26" s="3"/>
      <c r="J26" s="3"/>
      <c r="K26" s="3"/>
      <c r="L26" s="3"/>
      <c r="M26" s="3"/>
      <c r="N26" s="3"/>
      <c r="O26" s="3"/>
      <c r="P26" s="3"/>
    </row>
    <row r="27" spans="2:16" x14ac:dyDescent="0.3">
      <c r="B27" s="3"/>
      <c r="C27" s="3"/>
      <c r="D27" s="3"/>
      <c r="E27" s="3"/>
      <c r="F27" s="3"/>
      <c r="G27" s="3"/>
      <c r="H27" s="3"/>
      <c r="I27" s="3"/>
      <c r="J27" s="3"/>
      <c r="K27" s="3"/>
      <c r="L27" s="3"/>
      <c r="M27" s="3"/>
      <c r="N27" s="3"/>
      <c r="O27" s="3"/>
      <c r="P27" s="3"/>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679479FB-CBA7-4B90-AAD0-E63C6AF3BF64}">
  <ds:schemaRefs/>
</ds:datastoreItem>
</file>

<file path=customXml/itemProps2.xml><?xml version="1.0" encoding="utf-8"?>
<ds:datastoreItem xmlns:ds="http://schemas.openxmlformats.org/officeDocument/2006/customXml" ds:itemID="{6B2B9160-964C-425D-AA50-056D93B122DC}">
  <ds:schemaRefs/>
</ds:datastoreItem>
</file>

<file path=customXml/itemProps3.xml><?xml version="1.0" encoding="utf-8"?>
<ds:datastoreItem xmlns:ds="http://schemas.openxmlformats.org/officeDocument/2006/customXml" ds:itemID="{E3E21DF3-3DD5-4DFF-9BC0-D58CFB58EB18}">
  <ds:schemaRefs/>
</ds:datastoreItem>
</file>

<file path=customXml/itemProps4.xml><?xml version="1.0" encoding="utf-8"?>
<ds:datastoreItem xmlns:ds="http://schemas.openxmlformats.org/officeDocument/2006/customXml" ds:itemID="{5A226096-B464-490A-9448-0606C89C44D5}">
  <ds:schemaRefs/>
</ds:datastoreItem>
</file>

<file path=customXml/itemProps5.xml><?xml version="1.0" encoding="utf-8"?>
<ds:datastoreItem xmlns:ds="http://schemas.openxmlformats.org/officeDocument/2006/customXml" ds:itemID="{CB7E6E6E-5ABC-45F6-9FB4-A5C06B9781C5}">
  <ds:schemaRefs/>
</ds:datastoreItem>
</file>

<file path=customXml/itemProps6.xml><?xml version="1.0" encoding="utf-8"?>
<ds:datastoreItem xmlns:ds="http://schemas.openxmlformats.org/officeDocument/2006/customXml" ds:itemID="{76A4DAAC-910A-4353-9427-58B8A966AA2C}">
  <ds:schemaRefs/>
</ds:datastoreItem>
</file>

<file path=customXml/itemProps7.xml><?xml version="1.0" encoding="utf-8"?>
<ds:datastoreItem xmlns:ds="http://schemas.openxmlformats.org/officeDocument/2006/customXml" ds:itemID="{197F1D31-95D5-4A61-8451-718D454BCC9C}">
  <ds:schemaRefs/>
</ds:datastoreItem>
</file>

<file path=customXml/itemProps8.xml><?xml version="1.0" encoding="utf-8"?>
<ds:datastoreItem xmlns:ds="http://schemas.openxmlformats.org/officeDocument/2006/customXml" ds:itemID="{ADF21B16-FD24-4C99-A889-515234FBC012}">
  <ds:schemaRefs/>
</ds:datastoreItem>
</file>

<file path=customXml/itemProps9.xml><?xml version="1.0" encoding="utf-8"?>
<ds:datastoreItem xmlns:ds="http://schemas.openxmlformats.org/officeDocument/2006/customXml" ds:itemID="{BC3B5FC6-323F-4937-A504-59E64B602016}">
  <ds:schemaRefs>
    <ds:schemaRef ds:uri="http://schemas.microsoft.com/DataMashup"/>
  </ds:schemaRefs>
</ds:datastoreItem>
</file>

<file path=customXml/itemProps10.xml><?xml version="1.0" encoding="utf-8"?>
<ds:datastoreItem xmlns:ds="http://schemas.openxmlformats.org/officeDocument/2006/customXml" ds:itemID="{A4406AAB-A253-49C3-8DA7-4B3A5A2D2DA6}">
  <ds:schemaRefs/>
</ds:datastoreItem>
</file>

<file path=customXml/itemProps11.xml><?xml version="1.0" encoding="utf-8"?>
<ds:datastoreItem xmlns:ds="http://schemas.openxmlformats.org/officeDocument/2006/customXml" ds:itemID="{94026892-1DB1-4BF1-99F2-6DAB790F914B}">
  <ds:schemaRefs/>
</ds:datastoreItem>
</file>

<file path=customXml/itemProps12.xml><?xml version="1.0" encoding="utf-8"?>
<ds:datastoreItem xmlns:ds="http://schemas.openxmlformats.org/officeDocument/2006/customXml" ds:itemID="{766E2E53-7280-4531-9870-AEC53E363351}">
  <ds:schemaRefs/>
</ds:datastoreItem>
</file>

<file path=customXml/itemProps13.xml><?xml version="1.0" encoding="utf-8"?>
<ds:datastoreItem xmlns:ds="http://schemas.openxmlformats.org/officeDocument/2006/customXml" ds:itemID="{EF30220E-4E43-40F4-A99A-255EACD033C1}">
  <ds:schemaRefs/>
</ds:datastoreItem>
</file>

<file path=customXml/itemProps14.xml><?xml version="1.0" encoding="utf-8"?>
<ds:datastoreItem xmlns:ds="http://schemas.openxmlformats.org/officeDocument/2006/customXml" ds:itemID="{64F63495-42B3-4D2B-960B-57E58D78E71E}">
  <ds:schemaRefs/>
</ds:datastoreItem>
</file>

<file path=customXml/itemProps15.xml><?xml version="1.0" encoding="utf-8"?>
<ds:datastoreItem xmlns:ds="http://schemas.openxmlformats.org/officeDocument/2006/customXml" ds:itemID="{3D5519D2-8202-4815-BB8B-66E6D3091C21}">
  <ds:schemaRefs/>
</ds:datastoreItem>
</file>

<file path=customXml/itemProps16.xml><?xml version="1.0" encoding="utf-8"?>
<ds:datastoreItem xmlns:ds="http://schemas.openxmlformats.org/officeDocument/2006/customXml" ds:itemID="{AD380319-34F3-4D6A-AC01-5AC9CA95090E}">
  <ds:schemaRefs/>
</ds:datastoreItem>
</file>

<file path=customXml/itemProps17.xml><?xml version="1.0" encoding="utf-8"?>
<ds:datastoreItem xmlns:ds="http://schemas.openxmlformats.org/officeDocument/2006/customXml" ds:itemID="{ABA4C478-A5D8-4F4A-A0C3-11E43CBB46F4}">
  <ds:schemaRefs/>
</ds:datastoreItem>
</file>

<file path=customXml/itemProps18.xml><?xml version="1.0" encoding="utf-8"?>
<ds:datastoreItem xmlns:ds="http://schemas.openxmlformats.org/officeDocument/2006/customXml" ds:itemID="{8A831EF6-5303-49C4-91E5-CD8F4451CFC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Pivot Report</vt:lpstr>
      <vt:lpstr>Dashboard</vt:lpstr>
      <vt:lpstr>Daily ER No. of Patient</vt:lpstr>
      <vt:lpstr>Daily Trend Of Wait Time</vt:lpstr>
      <vt:lpstr>DailyTrendOf Satisfaction Score</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 Parekh</dc:creator>
  <cp:lastModifiedBy>Sneh Parekh</cp:lastModifiedBy>
  <dcterms:created xsi:type="dcterms:W3CDTF">2026-01-12T09:31:05Z</dcterms:created>
  <dcterms:modified xsi:type="dcterms:W3CDTF">2026-01-13T06:07:33Z</dcterms:modified>
</cp:coreProperties>
</file>